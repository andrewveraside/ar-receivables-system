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_应收单据" sheetId="1" state="visible" r:id="rId1"/>
    <sheet xmlns:r="http://schemas.openxmlformats.org/officeDocument/2006/relationships" name="01_参数" sheetId="2" state="visible" r:id="rId2"/>
  </sheets>
  <definedNames>
    <definedName name="_xlnm._FilterDatabase" localSheetId="0" hidden="1">'03_应收单据'!$A$1:$T$101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9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6" customWidth="1" min="3" max="3"/>
    <col width="8" customWidth="1" min="4" max="4"/>
    <col width="9" customWidth="1" min="5" max="5"/>
    <col width="12" customWidth="1" min="6" max="6"/>
    <col width="8" customWidth="1" min="7" max="7"/>
    <col width="12" customWidth="1" min="8" max="8"/>
    <col width="7" customWidth="1" min="9" max="9"/>
    <col width="10" customWidth="1" min="10" max="10"/>
    <col width="14" customWidth="1" min="11" max="11"/>
    <col width="10" customWidth="1" min="12" max="12"/>
    <col width="13" customWidth="1" min="13" max="13"/>
    <col width="14" customWidth="1" min="14" max="14"/>
    <col width="14" customWidth="1" min="15" max="15"/>
    <col width="13" customWidth="1" min="16" max="16"/>
    <col width="14" customWidth="1" min="17" max="17"/>
    <col width="9" customWidth="1" min="18" max="18"/>
    <col width="11" customWidth="1" min="19" max="19"/>
    <col width="10" customWidth="1" min="20" max="20"/>
  </cols>
  <sheetData>
    <row r="1">
      <c r="A1" s="1" t="inlineStr">
        <is>
          <t>发票号</t>
        </is>
      </c>
      <c r="B1" s="1" t="inlineStr">
        <is>
          <t>客户代码</t>
        </is>
      </c>
      <c r="C1" s="1" t="inlineStr">
        <is>
          <t>客户名称</t>
        </is>
      </c>
      <c r="D1" s="1" t="inlineStr">
        <is>
          <t>国家</t>
        </is>
      </c>
      <c r="E1" s="1" t="inlineStr">
        <is>
          <t>业务员</t>
        </is>
      </c>
      <c r="F1" s="1" t="inlineStr">
        <is>
          <t>发票日期</t>
        </is>
      </c>
      <c r="G1" s="1" t="inlineStr">
        <is>
          <t>账期天</t>
        </is>
      </c>
      <c r="H1" s="1" t="inlineStr">
        <is>
          <t>到期日</t>
        </is>
      </c>
      <c r="I1" s="1" t="inlineStr">
        <is>
          <t>币种</t>
        </is>
      </c>
      <c r="J1" s="1" t="inlineStr">
        <is>
          <t>汇率</t>
        </is>
      </c>
      <c r="K1" s="1" t="inlineStr">
        <is>
          <t>不含税金额</t>
        </is>
      </c>
      <c r="L1" s="1" t="inlineStr">
        <is>
          <t>出口退税率</t>
        </is>
      </c>
      <c r="M1" s="1" t="inlineStr">
        <is>
          <t>已收金额</t>
        </is>
      </c>
      <c r="N1" s="1" t="inlineStr">
        <is>
          <t>本位币金额</t>
        </is>
      </c>
      <c r="O1" s="1" t="inlineStr">
        <is>
          <t>本位币已收</t>
        </is>
      </c>
      <c r="P1" s="1" t="inlineStr">
        <is>
          <t>未收原币</t>
        </is>
      </c>
      <c r="Q1" s="1" t="inlineStr">
        <is>
          <t>未收本位币</t>
        </is>
      </c>
      <c r="R1" s="1" t="inlineStr">
        <is>
          <t>逾期天数</t>
        </is>
      </c>
      <c r="S1" s="1" t="inlineStr">
        <is>
          <t>账龄档</t>
        </is>
      </c>
      <c r="T1" s="1" t="inlineStr">
        <is>
          <t>单据状态</t>
        </is>
      </c>
    </row>
    <row r="2">
      <c r="A2" s="2" t="inlineStr">
        <is>
          <t>INV26100001</t>
        </is>
      </c>
      <c r="B2" s="2" t="inlineStr">
        <is>
          <t>C005</t>
        </is>
      </c>
      <c r="C2" s="2" t="inlineStr">
        <is>
          <t>IBERIA TEXTIL SL</t>
        </is>
      </c>
      <c r="D2" s="2" t="inlineStr">
        <is>
          <t>西班牙</t>
        </is>
      </c>
      <c r="E2" s="2" t="inlineStr">
        <is>
          <t>刘小源</t>
        </is>
      </c>
      <c r="F2" s="3" t="n">
        <v>46292</v>
      </c>
      <c r="G2" s="2" t="n">
        <v>45</v>
      </c>
      <c r="H2" s="3" t="n">
        <v>46337</v>
      </c>
      <c r="I2" s="2" t="inlineStr">
        <is>
          <t>EUR</t>
        </is>
      </c>
      <c r="J2" s="4" t="n">
        <v>7.573038</v>
      </c>
      <c r="K2" s="5" t="n">
        <v>98517</v>
      </c>
      <c r="L2" s="6" t="n">
        <v>0.13</v>
      </c>
      <c r="M2" s="5" t="n">
        <v>0</v>
      </c>
      <c r="N2" s="5">
        <f>K2*J2</f>
        <v/>
      </c>
      <c r="O2" s="5">
        <f>M2*J2</f>
        <v/>
      </c>
      <c r="P2" s="5">
        <f>K2-M2</f>
        <v/>
      </c>
      <c r="Q2" s="5">
        <f>N2-O2</f>
        <v/>
      </c>
      <c r="R2" s="2">
        <f>IF(Q2&lt;=0,0,TODAY()-H2)</f>
        <v/>
      </c>
      <c r="S2" s="2">
        <f>IF(Q2&lt;=0,"未到期",IF(S2&lt;=30,"1-30天",IF(S2&lt;=60,"31-60天",IF(S2&lt;=90,"61-90天",IF(S2&lt;=180,"91-180天","180天以上")))))</f>
        <v/>
      </c>
      <c r="T2" s="2">
        <f>IF(Q2&lt;=0,"未到期",IF(S2&gt;0,"逾期","已结清"))</f>
        <v/>
      </c>
    </row>
    <row r="3">
      <c r="A3" s="2" t="inlineStr">
        <is>
          <t>INV26100002</t>
        </is>
      </c>
      <c r="B3" s="2" t="inlineStr">
        <is>
          <t>C008</t>
        </is>
      </c>
      <c r="C3" s="2" t="inlineStr">
        <is>
          <t>PACIFIC RIM LLC</t>
        </is>
      </c>
      <c r="D3" s="2" t="inlineStr">
        <is>
          <t>美国</t>
        </is>
      </c>
      <c r="E3" s="2" t="inlineStr">
        <is>
          <t>周小杰</t>
        </is>
      </c>
      <c r="F3" s="3" t="n">
        <v>46304</v>
      </c>
      <c r="G3" s="2" t="n">
        <v>60</v>
      </c>
      <c r="H3" s="3" t="n">
        <v>46364</v>
      </c>
      <c r="I3" s="2" t="inlineStr">
        <is>
          <t>USD</t>
        </is>
      </c>
      <c r="J3" s="4" t="n">
        <v>6.981357</v>
      </c>
      <c r="K3" s="5" t="n">
        <v>11100.88</v>
      </c>
      <c r="L3" s="6" t="n">
        <v>0.13</v>
      </c>
      <c r="M3" s="5" t="n">
        <v>5550.44</v>
      </c>
      <c r="N3" s="5">
        <f>K3*J3</f>
        <v/>
      </c>
      <c r="O3" s="5">
        <f>M3*J3</f>
        <v/>
      </c>
      <c r="P3" s="5">
        <f>K3-M3</f>
        <v/>
      </c>
      <c r="Q3" s="5">
        <f>N3-O3</f>
        <v/>
      </c>
      <c r="R3" s="2">
        <f>IF(Q3&lt;=0,0,TODAY()-H3)</f>
        <v/>
      </c>
      <c r="S3" s="2">
        <f>IF(Q3&lt;=0,"未到期",IF(S3&lt;=30,"1-30天",IF(S3&lt;=60,"31-60天",IF(S3&lt;=90,"61-90天",IF(S3&lt;=180,"91-180天","180天以上")))))</f>
        <v/>
      </c>
      <c r="T3" s="2">
        <f>IF(Q3&lt;=0,"未到期",IF(S3&gt;0,"逾期","已结清"))</f>
        <v/>
      </c>
    </row>
    <row r="4">
      <c r="A4" s="2" t="inlineStr">
        <is>
          <t>INV26100003</t>
        </is>
      </c>
      <c r="B4" s="2" t="inlineStr">
        <is>
          <t>C014</t>
        </is>
      </c>
      <c r="C4" s="2" t="inlineStr">
        <is>
          <t>SAKURA IMPORTS KK</t>
        </is>
      </c>
      <c r="D4" s="2" t="inlineStr">
        <is>
          <t>日本</t>
        </is>
      </c>
      <c r="E4" s="2" t="inlineStr">
        <is>
          <t>刘小源</t>
        </is>
      </c>
      <c r="F4" s="3" t="n">
        <v>46198</v>
      </c>
      <c r="G4" s="2" t="n">
        <v>30</v>
      </c>
      <c r="H4" s="3" t="n">
        <v>46228</v>
      </c>
      <c r="I4" s="2" t="inlineStr">
        <is>
          <t>JPY</t>
        </is>
      </c>
      <c r="J4" s="4" t="n">
        <v>0.046943</v>
      </c>
      <c r="K4" s="5" t="n">
        <v>7877405</v>
      </c>
      <c r="L4" s="6" t="n">
        <v>0.09</v>
      </c>
      <c r="M4" s="5" t="n">
        <v>0</v>
      </c>
      <c r="N4" s="5">
        <f>K4*J4</f>
        <v/>
      </c>
      <c r="O4" s="5">
        <f>M4*J4</f>
        <v/>
      </c>
      <c r="P4" s="5">
        <f>K4-M4</f>
        <v/>
      </c>
      <c r="Q4" s="5">
        <f>N4-O4</f>
        <v/>
      </c>
      <c r="R4" s="2">
        <f>IF(Q4&lt;=0,0,TODAY()-H4)</f>
        <v/>
      </c>
      <c r="S4" s="2">
        <f>IF(Q4&lt;=0,"未到期",IF(S4&lt;=30,"1-30天",IF(S4&lt;=60,"31-60天",IF(S4&lt;=90,"61-90天",IF(S4&lt;=180,"91-180天","180天以上")))))</f>
        <v/>
      </c>
      <c r="T4" s="2">
        <f>IF(Q4&lt;=0,"未到期",IF(S4&gt;0,"逾期","已结清"))</f>
        <v/>
      </c>
    </row>
    <row r="5">
      <c r="A5" s="2" t="inlineStr">
        <is>
          <t>INV26100004</t>
        </is>
      </c>
      <c r="B5" s="2" t="inlineStr">
        <is>
          <t>C006</t>
        </is>
      </c>
      <c r="C5" s="2" t="inlineStr">
        <is>
          <t>ATLANTIC GOODS LTD</t>
        </is>
      </c>
      <c r="D5" s="2" t="inlineStr">
        <is>
          <t>英国</t>
        </is>
      </c>
      <c r="E5" s="2" t="inlineStr">
        <is>
          <t>刘小源</t>
        </is>
      </c>
      <c r="F5" s="3" t="n">
        <v>46215</v>
      </c>
      <c r="G5" s="2" t="n">
        <v>30</v>
      </c>
      <c r="H5" s="3" t="n">
        <v>46245</v>
      </c>
      <c r="I5" s="2" t="inlineStr">
        <is>
          <t>GBP</t>
        </is>
      </c>
      <c r="J5" s="4" t="n">
        <v>9.042903000000001</v>
      </c>
      <c r="K5" s="5" t="n">
        <v>62352.86</v>
      </c>
      <c r="L5" s="6" t="n">
        <v>0.09</v>
      </c>
      <c r="M5" s="5" t="n">
        <v>0</v>
      </c>
      <c r="N5" s="5">
        <f>K5*J5</f>
        <v/>
      </c>
      <c r="O5" s="5">
        <f>M5*J5</f>
        <v/>
      </c>
      <c r="P5" s="5">
        <f>K5-M5</f>
        <v/>
      </c>
      <c r="Q5" s="5">
        <f>N5-O5</f>
        <v/>
      </c>
      <c r="R5" s="2">
        <f>IF(Q5&lt;=0,0,TODAY()-H5)</f>
        <v/>
      </c>
      <c r="S5" s="2">
        <f>IF(Q5&lt;=0,"未到期",IF(S5&lt;=30,"1-30天",IF(S5&lt;=60,"31-60天",IF(S5&lt;=90,"61-90天",IF(S5&lt;=180,"91-180天","180天以上")))))</f>
        <v/>
      </c>
      <c r="T5" s="2">
        <f>IF(Q5&lt;=0,"未到期",IF(S5&gt;0,"逾期","已结清"))</f>
        <v/>
      </c>
    </row>
    <row r="6">
      <c r="A6" s="2" t="inlineStr">
        <is>
          <t>INV26100005</t>
        </is>
      </c>
      <c r="B6" s="2" t="inlineStr">
        <is>
          <t>C011</t>
        </is>
      </c>
      <c r="C6" s="2" t="inlineStr">
        <is>
          <t>NILE TRADING CO</t>
        </is>
      </c>
      <c r="D6" s="2" t="inlineStr">
        <is>
          <t>埃及</t>
        </is>
      </c>
      <c r="E6" s="2" t="inlineStr">
        <is>
          <t>周小杰</t>
        </is>
      </c>
      <c r="F6" s="3" t="n">
        <v>46273</v>
      </c>
      <c r="G6" s="2" t="n">
        <v>90</v>
      </c>
      <c r="H6" s="3" t="n">
        <v>46363</v>
      </c>
      <c r="I6" s="2" t="inlineStr">
        <is>
          <t>USD</t>
        </is>
      </c>
      <c r="J6" s="4" t="n">
        <v>7.057978</v>
      </c>
      <c r="K6" s="5" t="n">
        <v>9291.17</v>
      </c>
      <c r="L6" s="6" t="n">
        <v>0.09</v>
      </c>
      <c r="M6" s="5" t="n">
        <v>9291.17</v>
      </c>
      <c r="N6" s="5">
        <f>K6*J6</f>
        <v/>
      </c>
      <c r="O6" s="5">
        <f>M6*J6</f>
        <v/>
      </c>
      <c r="P6" s="5">
        <f>K6-M6</f>
        <v/>
      </c>
      <c r="Q6" s="5">
        <f>N6-O6</f>
        <v/>
      </c>
      <c r="R6" s="2">
        <f>IF(Q6&lt;=0,0,TODAY()-H6)</f>
        <v/>
      </c>
      <c r="S6" s="2">
        <f>IF(Q6&lt;=0,"未到期",IF(S6&lt;=30,"1-30天",IF(S6&lt;=60,"31-60天",IF(S6&lt;=90,"61-90天",IF(S6&lt;=180,"91-180天","180天以上")))))</f>
        <v/>
      </c>
      <c r="T6" s="2">
        <f>IF(Q6&lt;=0,"未到期",IF(S6&gt;0,"逾期","已结清"))</f>
        <v/>
      </c>
    </row>
    <row r="7">
      <c r="A7" s="2" t="inlineStr">
        <is>
          <t>INV26100006</t>
        </is>
      </c>
      <c r="B7" s="2" t="inlineStr">
        <is>
          <t>C010</t>
        </is>
      </c>
      <c r="C7" s="2" t="inlineStr">
        <is>
          <t>SAHARA DISTRIBUTION SARL</t>
        </is>
      </c>
      <c r="D7" s="2" t="inlineStr">
        <is>
          <t>摩洛哥</t>
        </is>
      </c>
      <c r="E7" s="2" t="inlineStr">
        <is>
          <t>周小杰</t>
        </is>
      </c>
      <c r="F7" s="3" t="n">
        <v>46029</v>
      </c>
      <c r="G7" s="2" t="n">
        <v>90</v>
      </c>
      <c r="H7" s="3" t="n">
        <v>46119</v>
      </c>
      <c r="I7" s="2" t="inlineStr">
        <is>
          <t>USD</t>
        </is>
      </c>
      <c r="J7" s="4" t="n">
        <v>7.118674</v>
      </c>
      <c r="K7" s="5" t="n">
        <v>80452.42</v>
      </c>
      <c r="L7" s="6" t="n">
        <v>0.09</v>
      </c>
      <c r="M7" s="5" t="n">
        <v>0</v>
      </c>
      <c r="N7" s="5">
        <f>K7*J7</f>
        <v/>
      </c>
      <c r="O7" s="5">
        <f>M7*J7</f>
        <v/>
      </c>
      <c r="P7" s="5">
        <f>K7-M7</f>
        <v/>
      </c>
      <c r="Q7" s="5">
        <f>N7-O7</f>
        <v/>
      </c>
      <c r="R7" s="2">
        <f>IF(Q7&lt;=0,0,TODAY()-H7)</f>
        <v/>
      </c>
      <c r="S7" s="2">
        <f>IF(Q7&lt;=0,"未到期",IF(S7&lt;=30,"1-30天",IF(S7&lt;=60,"31-60天",IF(S7&lt;=90,"61-90天",IF(S7&lt;=180,"91-180天","180天以上")))))</f>
        <v/>
      </c>
      <c r="T7" s="2">
        <f>IF(Q7&lt;=0,"未到期",IF(S7&gt;0,"逾期","已结清"))</f>
        <v/>
      </c>
    </row>
    <row r="8">
      <c r="A8" s="2" t="inlineStr">
        <is>
          <t>INV26100007</t>
        </is>
      </c>
      <c r="B8" s="2" t="inlineStr">
        <is>
          <t>C005</t>
        </is>
      </c>
      <c r="C8" s="2" t="inlineStr">
        <is>
          <t>IBERIA TEXTIL SL</t>
        </is>
      </c>
      <c r="D8" s="2" t="inlineStr">
        <is>
          <t>西班牙</t>
        </is>
      </c>
      <c r="E8" s="2" t="inlineStr">
        <is>
          <t>张大丽</t>
        </is>
      </c>
      <c r="F8" s="3" t="n">
        <v>46049</v>
      </c>
      <c r="G8" s="2" t="n">
        <v>45</v>
      </c>
      <c r="H8" s="3" t="n">
        <v>46094</v>
      </c>
      <c r="I8" s="2" t="inlineStr">
        <is>
          <t>EUR</t>
        </is>
      </c>
      <c r="J8" s="4" t="n">
        <v>7.696659</v>
      </c>
      <c r="K8" s="5" t="n">
        <v>92118</v>
      </c>
      <c r="L8" s="6" t="n">
        <v>0</v>
      </c>
      <c r="M8" s="5" t="n">
        <v>0</v>
      </c>
      <c r="N8" s="5">
        <f>K8*J8</f>
        <v/>
      </c>
      <c r="O8" s="5">
        <f>M8*J8</f>
        <v/>
      </c>
      <c r="P8" s="5">
        <f>K8-M8</f>
        <v/>
      </c>
      <c r="Q8" s="5">
        <f>N8-O8</f>
        <v/>
      </c>
      <c r="R8" s="2">
        <f>IF(Q8&lt;=0,0,TODAY()-H8)</f>
        <v/>
      </c>
      <c r="S8" s="2">
        <f>IF(Q8&lt;=0,"未到期",IF(S8&lt;=30,"1-30天",IF(S8&lt;=60,"31-60天",IF(S8&lt;=90,"61-90天",IF(S8&lt;=180,"91-180天","180天以上")))))</f>
        <v/>
      </c>
      <c r="T8" s="2">
        <f>IF(Q8&lt;=0,"未到期",IF(S8&gt;0,"逾期","已结清"))</f>
        <v/>
      </c>
    </row>
    <row r="9">
      <c r="A9" s="2" t="inlineStr">
        <is>
          <t>INV26100008</t>
        </is>
      </c>
      <c r="B9" s="2" t="inlineStr">
        <is>
          <t>C004</t>
        </is>
      </c>
      <c r="C9" s="2" t="inlineStr">
        <is>
          <t>MEDITERRANEO SRL</t>
        </is>
      </c>
      <c r="D9" s="2" t="inlineStr">
        <is>
          <t>意大利</t>
        </is>
      </c>
      <c r="E9" s="2" t="inlineStr">
        <is>
          <t>张大丽</t>
        </is>
      </c>
      <c r="F9" s="3" t="n">
        <v>46121</v>
      </c>
      <c r="G9" s="2" t="n">
        <v>60</v>
      </c>
      <c r="H9" s="3" t="n">
        <v>46181</v>
      </c>
      <c r="I9" s="2" t="inlineStr">
        <is>
          <t>EUR</t>
        </is>
      </c>
      <c r="J9" s="4" t="n">
        <v>7.730646</v>
      </c>
      <c r="K9" s="5" t="n">
        <v>71642.86</v>
      </c>
      <c r="L9" s="6" t="n">
        <v>0.09</v>
      </c>
      <c r="M9" s="5" t="n">
        <v>14328.57</v>
      </c>
      <c r="N9" s="5">
        <f>K9*J9</f>
        <v/>
      </c>
      <c r="O9" s="5">
        <f>M9*J9</f>
        <v/>
      </c>
      <c r="P9" s="5">
        <f>K9-M9</f>
        <v/>
      </c>
      <c r="Q9" s="5">
        <f>N9-O9</f>
        <v/>
      </c>
      <c r="R9" s="2">
        <f>IF(Q9&lt;=0,0,TODAY()-H9)</f>
        <v/>
      </c>
      <c r="S9" s="2">
        <f>IF(Q9&lt;=0,"未到期",IF(S9&lt;=30,"1-30天",IF(S9&lt;=60,"31-60天",IF(S9&lt;=90,"61-90天",IF(S9&lt;=180,"91-180天","180天以上")))))</f>
        <v/>
      </c>
      <c r="T9" s="2">
        <f>IF(Q9&lt;=0,"未到期",IF(S9&gt;0,"逾期","已结清"))</f>
        <v/>
      </c>
    </row>
    <row r="10">
      <c r="A10" s="2" t="inlineStr">
        <is>
          <t>INV26100009</t>
        </is>
      </c>
      <c r="B10" s="2" t="inlineStr">
        <is>
          <t>C012</t>
        </is>
      </c>
      <c r="C10" s="2" t="inlineStr">
        <is>
          <t>GULF STAR GENERAL TRD</t>
        </is>
      </c>
      <c r="D10" s="2" t="inlineStr">
        <is>
          <t>阿联酋</t>
        </is>
      </c>
      <c r="E10" s="2" t="inlineStr">
        <is>
          <t>周小杰</t>
        </is>
      </c>
      <c r="F10" s="3" t="n">
        <v>46095</v>
      </c>
      <c r="G10" s="2" t="n">
        <v>45</v>
      </c>
      <c r="H10" s="3" t="n">
        <v>46140</v>
      </c>
      <c r="I10" s="2" t="inlineStr">
        <is>
          <t>USD</t>
        </is>
      </c>
      <c r="J10" s="4" t="n">
        <v>7.092144</v>
      </c>
      <c r="K10" s="5" t="n">
        <v>78232.08</v>
      </c>
      <c r="L10" s="6" t="n">
        <v>0.13</v>
      </c>
      <c r="M10" s="5" t="n">
        <v>0</v>
      </c>
      <c r="N10" s="5">
        <f>K10*J10</f>
        <v/>
      </c>
      <c r="O10" s="5">
        <f>M10*J10</f>
        <v/>
      </c>
      <c r="P10" s="5">
        <f>K10-M10</f>
        <v/>
      </c>
      <c r="Q10" s="5">
        <f>N10-O10</f>
        <v/>
      </c>
      <c r="R10" s="2">
        <f>IF(Q10&lt;=0,0,TODAY()-H10)</f>
        <v/>
      </c>
      <c r="S10" s="2">
        <f>IF(Q10&lt;=0,"未到期",IF(S10&lt;=30,"1-30天",IF(S10&lt;=60,"31-60天",IF(S10&lt;=90,"61-90天",IF(S10&lt;=180,"91-180天","180天以上")))))</f>
        <v/>
      </c>
      <c r="T10" s="2">
        <f>IF(Q10&lt;=0,"未到期",IF(S10&gt;0,"逾期","已结清"))</f>
        <v/>
      </c>
    </row>
    <row r="11">
      <c r="A11" s="2" t="inlineStr">
        <is>
          <t>INV26100010</t>
        </is>
      </c>
      <c r="B11" s="2" t="inlineStr">
        <is>
          <t>C013</t>
        </is>
      </c>
      <c r="C11" s="2" t="inlineStr">
        <is>
          <t>ORIENT BRIDGE PTE LTD</t>
        </is>
      </c>
      <c r="D11" s="2" t="inlineStr">
        <is>
          <t>新加坡</t>
        </is>
      </c>
      <c r="E11" s="2" t="inlineStr">
        <is>
          <t>张大丽</t>
        </is>
      </c>
      <c r="F11" s="3" t="n">
        <v>46054</v>
      </c>
      <c r="G11" s="2" t="n">
        <v>30</v>
      </c>
      <c r="H11" s="3" t="n">
        <v>46084</v>
      </c>
      <c r="I11" s="2" t="inlineStr">
        <is>
          <t>SGD</t>
        </is>
      </c>
      <c r="J11" s="4" t="n">
        <v>5.374568</v>
      </c>
      <c r="K11" s="5" t="n">
        <v>98094.58</v>
      </c>
      <c r="L11" s="6" t="n">
        <v>0.13</v>
      </c>
      <c r="M11" s="5" t="n">
        <v>0</v>
      </c>
      <c r="N11" s="5">
        <f>K11*J11</f>
        <v/>
      </c>
      <c r="O11" s="5">
        <f>M11*J11</f>
        <v/>
      </c>
      <c r="P11" s="5">
        <f>K11-M11</f>
        <v/>
      </c>
      <c r="Q11" s="5">
        <f>N11-O11</f>
        <v/>
      </c>
      <c r="R11" s="2">
        <f>IF(Q11&lt;=0,0,TODAY()-H11)</f>
        <v/>
      </c>
      <c r="S11" s="2">
        <f>IF(Q11&lt;=0,"未到期",IF(S11&lt;=30,"1-30天",IF(S11&lt;=60,"31-60天",IF(S11&lt;=90,"61-90天",IF(S11&lt;=180,"91-180天","180天以上")))))</f>
        <v/>
      </c>
      <c r="T11" s="2">
        <f>IF(Q11&lt;=0,"未到期",IF(S11&gt;0,"逾期","已结清"))</f>
        <v/>
      </c>
    </row>
    <row r="12">
      <c r="A12" s="2" t="inlineStr">
        <is>
          <t>INV26100011</t>
        </is>
      </c>
      <c r="B12" s="2" t="inlineStr">
        <is>
          <t>C017</t>
        </is>
      </c>
      <c r="C12" s="2" t="inlineStr">
        <is>
          <t>ANDES COMERCIAL SA</t>
        </is>
      </c>
      <c r="D12" s="2" t="inlineStr">
        <is>
          <t>智利</t>
        </is>
      </c>
      <c r="E12" s="2" t="inlineStr">
        <is>
          <t>周小杰</t>
        </is>
      </c>
      <c r="F12" s="3" t="n">
        <v>46050</v>
      </c>
      <c r="G12" s="2" t="n">
        <v>90</v>
      </c>
      <c r="H12" s="3" t="n">
        <v>46140</v>
      </c>
      <c r="I12" s="2" t="inlineStr">
        <is>
          <t>USD</t>
        </is>
      </c>
      <c r="J12" s="4" t="n">
        <v>7.049525</v>
      </c>
      <c r="K12" s="5" t="n">
        <v>77310.3</v>
      </c>
      <c r="L12" s="6" t="n">
        <v>0</v>
      </c>
      <c r="M12" s="5" t="n">
        <v>0</v>
      </c>
      <c r="N12" s="5">
        <f>K12*J12</f>
        <v/>
      </c>
      <c r="O12" s="5">
        <f>M12*J12</f>
        <v/>
      </c>
      <c r="P12" s="5">
        <f>K12-M12</f>
        <v/>
      </c>
      <c r="Q12" s="5">
        <f>N12-O12</f>
        <v/>
      </c>
      <c r="R12" s="2">
        <f>IF(Q12&lt;=0,0,TODAY()-H12)</f>
        <v/>
      </c>
      <c r="S12" s="2">
        <f>IF(Q12&lt;=0,"未到期",IF(S12&lt;=30,"1-30天",IF(S12&lt;=60,"31-60天",IF(S12&lt;=90,"61-90天",IF(S12&lt;=180,"91-180天","180天以上")))))</f>
        <v/>
      </c>
      <c r="T12" s="2">
        <f>IF(Q12&lt;=0,"未到期",IF(S12&gt;0,"逾期","已结清"))</f>
        <v/>
      </c>
    </row>
    <row r="13">
      <c r="A13" s="2" t="inlineStr">
        <is>
          <t>INV26100012</t>
        </is>
      </c>
      <c r="B13" s="2" t="inlineStr">
        <is>
          <t>C005</t>
        </is>
      </c>
      <c r="C13" s="2" t="inlineStr">
        <is>
          <t>IBERIA TEXTIL SL</t>
        </is>
      </c>
      <c r="D13" s="2" t="inlineStr">
        <is>
          <t>西班牙</t>
        </is>
      </c>
      <c r="E13" s="2" t="inlineStr">
        <is>
          <t>张大丽</t>
        </is>
      </c>
      <c r="F13" s="3" t="n">
        <v>46193</v>
      </c>
      <c r="G13" s="2" t="n">
        <v>45</v>
      </c>
      <c r="H13" s="3" t="n">
        <v>46238</v>
      </c>
      <c r="I13" s="2" t="inlineStr">
        <is>
          <t>EUR</t>
        </is>
      </c>
      <c r="J13" s="4" t="n">
        <v>7.609886</v>
      </c>
      <c r="K13" s="5" t="n">
        <v>41426.42</v>
      </c>
      <c r="L13" s="6" t="n">
        <v>0</v>
      </c>
      <c r="M13" s="5" t="n">
        <v>4142.64</v>
      </c>
      <c r="N13" s="5">
        <f>K13*J13</f>
        <v/>
      </c>
      <c r="O13" s="5">
        <f>M13*J13</f>
        <v/>
      </c>
      <c r="P13" s="5">
        <f>K13-M13</f>
        <v/>
      </c>
      <c r="Q13" s="5">
        <f>N13-O13</f>
        <v/>
      </c>
      <c r="R13" s="2">
        <f>IF(Q13&lt;=0,0,TODAY()-H13)</f>
        <v/>
      </c>
      <c r="S13" s="2">
        <f>IF(Q13&lt;=0,"未到期",IF(S13&lt;=30,"1-30天",IF(S13&lt;=60,"31-60天",IF(S13&lt;=90,"61-90天",IF(S13&lt;=180,"91-180天","180天以上")))))</f>
        <v/>
      </c>
      <c r="T13" s="2">
        <f>IF(Q13&lt;=0,"未到期",IF(S13&gt;0,"逾期","已结清"))</f>
        <v/>
      </c>
    </row>
    <row r="14">
      <c r="A14" s="2" t="inlineStr">
        <is>
          <t>INV26100013</t>
        </is>
      </c>
      <c r="B14" s="2" t="inlineStr">
        <is>
          <t>C008</t>
        </is>
      </c>
      <c r="C14" s="2" t="inlineStr">
        <is>
          <t>PACIFIC RIM LLC</t>
        </is>
      </c>
      <c r="D14" s="2" t="inlineStr">
        <is>
          <t>美国</t>
        </is>
      </c>
      <c r="E14" s="2" t="inlineStr">
        <is>
          <t>张大丽</t>
        </is>
      </c>
      <c r="F14" s="3" t="n">
        <v>46078</v>
      </c>
      <c r="G14" s="2" t="n">
        <v>60</v>
      </c>
      <c r="H14" s="3" t="n">
        <v>46138</v>
      </c>
      <c r="I14" s="2" t="inlineStr">
        <is>
          <t>USD</t>
        </is>
      </c>
      <c r="J14" s="4" t="n">
        <v>7.108737</v>
      </c>
      <c r="K14" s="5" t="n">
        <v>84852.25</v>
      </c>
      <c r="L14" s="6" t="n">
        <v>0</v>
      </c>
      <c r="M14" s="5" t="n">
        <v>0</v>
      </c>
      <c r="N14" s="5">
        <f>K14*J14</f>
        <v/>
      </c>
      <c r="O14" s="5">
        <f>M14*J14</f>
        <v/>
      </c>
      <c r="P14" s="5">
        <f>K14-M14</f>
        <v/>
      </c>
      <c r="Q14" s="5">
        <f>N14-O14</f>
        <v/>
      </c>
      <c r="R14" s="2">
        <f>IF(Q14&lt;=0,0,TODAY()-H14)</f>
        <v/>
      </c>
      <c r="S14" s="2">
        <f>IF(Q14&lt;=0,"未到期",IF(S14&lt;=30,"1-30天",IF(S14&lt;=60,"31-60天",IF(S14&lt;=90,"61-90天",IF(S14&lt;=180,"91-180天","180天以上")))))</f>
        <v/>
      </c>
      <c r="T14" s="2">
        <f>IF(Q14&lt;=0,"未到期",IF(S14&gt;0,"逾期","已结清"))</f>
        <v/>
      </c>
    </row>
    <row r="15">
      <c r="A15" s="2" t="inlineStr">
        <is>
          <t>INV26100014</t>
        </is>
      </c>
      <c r="B15" s="2" t="inlineStr">
        <is>
          <t>C011</t>
        </is>
      </c>
      <c r="C15" s="2" t="inlineStr">
        <is>
          <t>NILE TRADING CO</t>
        </is>
      </c>
      <c r="D15" s="2" t="inlineStr">
        <is>
          <t>埃及</t>
        </is>
      </c>
      <c r="E15" s="2" t="inlineStr">
        <is>
          <t>张大丽</t>
        </is>
      </c>
      <c r="F15" s="3" t="n">
        <v>46045</v>
      </c>
      <c r="G15" s="2" t="n">
        <v>90</v>
      </c>
      <c r="H15" s="3" t="n">
        <v>46135</v>
      </c>
      <c r="I15" s="2" t="inlineStr">
        <is>
          <t>USD</t>
        </is>
      </c>
      <c r="J15" s="4" t="n">
        <v>7.181666</v>
      </c>
      <c r="K15" s="5" t="n">
        <v>46282.57</v>
      </c>
      <c r="L15" s="6" t="n">
        <v>0.09</v>
      </c>
      <c r="M15" s="5" t="n">
        <v>0</v>
      </c>
      <c r="N15" s="5">
        <f>K15*J15</f>
        <v/>
      </c>
      <c r="O15" s="5">
        <f>M15*J15</f>
        <v/>
      </c>
      <c r="P15" s="5">
        <f>K15-M15</f>
        <v/>
      </c>
      <c r="Q15" s="5">
        <f>N15-O15</f>
        <v/>
      </c>
      <c r="R15" s="2">
        <f>IF(Q15&lt;=0,0,TODAY()-H15)</f>
        <v/>
      </c>
      <c r="S15" s="2">
        <f>IF(Q15&lt;=0,"未到期",IF(S15&lt;=30,"1-30天",IF(S15&lt;=60,"31-60天",IF(S15&lt;=90,"61-90天",IF(S15&lt;=180,"91-180天","180天以上")))))</f>
        <v/>
      </c>
      <c r="T15" s="2">
        <f>IF(Q15&lt;=0,"未到期",IF(S15&gt;0,"逾期","已结清"))</f>
        <v/>
      </c>
    </row>
    <row r="16">
      <c r="A16" s="2" t="inlineStr">
        <is>
          <t>INV26100015</t>
        </is>
      </c>
      <c r="B16" s="2" t="inlineStr">
        <is>
          <t>C004</t>
        </is>
      </c>
      <c r="C16" s="2" t="inlineStr">
        <is>
          <t>MEDITERRANEO SRL</t>
        </is>
      </c>
      <c r="D16" s="2" t="inlineStr">
        <is>
          <t>意大利</t>
        </is>
      </c>
      <c r="E16" s="2" t="inlineStr">
        <is>
          <t>张大丽</t>
        </is>
      </c>
      <c r="F16" s="3" t="n">
        <v>46112</v>
      </c>
      <c r="G16" s="2" t="n">
        <v>60</v>
      </c>
      <c r="H16" s="3" t="n">
        <v>46172</v>
      </c>
      <c r="I16" s="2" t="inlineStr">
        <is>
          <t>EUR</t>
        </is>
      </c>
      <c r="J16" s="4" t="n">
        <v>7.70325</v>
      </c>
      <c r="K16" s="5" t="n">
        <v>47114.16</v>
      </c>
      <c r="L16" s="6" t="n">
        <v>0</v>
      </c>
      <c r="M16" s="5" t="n">
        <v>23557.08</v>
      </c>
      <c r="N16" s="5">
        <f>K16*J16</f>
        <v/>
      </c>
      <c r="O16" s="5">
        <f>M16*J16</f>
        <v/>
      </c>
      <c r="P16" s="5">
        <f>K16-M16</f>
        <v/>
      </c>
      <c r="Q16" s="5">
        <f>N16-O16</f>
        <v/>
      </c>
      <c r="R16" s="2">
        <f>IF(Q16&lt;=0,0,TODAY()-H16)</f>
        <v/>
      </c>
      <c r="S16" s="2">
        <f>IF(Q16&lt;=0,"未到期",IF(S16&lt;=30,"1-30天",IF(S16&lt;=60,"31-60天",IF(S16&lt;=90,"61-90天",IF(S16&lt;=180,"91-180天","180天以上")))))</f>
        <v/>
      </c>
      <c r="T16" s="2">
        <f>IF(Q16&lt;=0,"未到期",IF(S16&gt;0,"逾期","已结清"))</f>
        <v/>
      </c>
    </row>
    <row r="17">
      <c r="A17" s="2" t="inlineStr">
        <is>
          <t>INV26100016</t>
        </is>
      </c>
      <c r="B17" s="2" t="inlineStr">
        <is>
          <t>C001</t>
        </is>
      </c>
      <c r="C17" s="2" t="inlineStr">
        <is>
          <t>HANSA TRADING GmbH</t>
        </is>
      </c>
      <c r="D17" s="2" t="inlineStr">
        <is>
          <t>德国</t>
        </is>
      </c>
      <c r="E17" s="2" t="inlineStr">
        <is>
          <t>刘小源</t>
        </is>
      </c>
      <c r="F17" s="3" t="n">
        <v>46279</v>
      </c>
      <c r="G17" s="2" t="n">
        <v>30</v>
      </c>
      <c r="H17" s="3" t="n">
        <v>46309</v>
      </c>
      <c r="I17" s="2" t="inlineStr">
        <is>
          <t>EUR</t>
        </is>
      </c>
      <c r="J17" s="4" t="n">
        <v>7.579079</v>
      </c>
      <c r="K17" s="5" t="n">
        <v>21034.97</v>
      </c>
      <c r="L17" s="6" t="n">
        <v>0.09</v>
      </c>
      <c r="M17" s="5" t="n">
        <v>8413.99</v>
      </c>
      <c r="N17" s="5">
        <f>K17*J17</f>
        <v/>
      </c>
      <c r="O17" s="5">
        <f>M17*J17</f>
        <v/>
      </c>
      <c r="P17" s="5">
        <f>K17-M17</f>
        <v/>
      </c>
      <c r="Q17" s="5">
        <f>N17-O17</f>
        <v/>
      </c>
      <c r="R17" s="2">
        <f>IF(Q17&lt;=0,0,TODAY()-H17)</f>
        <v/>
      </c>
      <c r="S17" s="2">
        <f>IF(Q17&lt;=0,"未到期",IF(S17&lt;=30,"1-30天",IF(S17&lt;=60,"31-60天",IF(S17&lt;=90,"61-90天",IF(S17&lt;=180,"91-180天","180天以上")))))</f>
        <v/>
      </c>
      <c r="T17" s="2">
        <f>IF(Q17&lt;=0,"未到期",IF(S17&gt;0,"逾期","已结清"))</f>
        <v/>
      </c>
    </row>
    <row r="18">
      <c r="A18" s="2" t="inlineStr">
        <is>
          <t>INV26100017</t>
        </is>
      </c>
      <c r="B18" s="2" t="inlineStr">
        <is>
          <t>C002</t>
        </is>
      </c>
      <c r="C18" s="2" t="inlineStr">
        <is>
          <t>NORDIC HOME AB</t>
        </is>
      </c>
      <c r="D18" s="2" t="inlineStr">
        <is>
          <t>瑞典</t>
        </is>
      </c>
      <c r="E18" s="2" t="inlineStr">
        <is>
          <t>周小杰</t>
        </is>
      </c>
      <c r="F18" s="3" t="n">
        <v>46232</v>
      </c>
      <c r="G18" s="2" t="n">
        <v>30</v>
      </c>
      <c r="H18" s="3" t="n">
        <v>46262</v>
      </c>
      <c r="I18" s="2" t="inlineStr">
        <is>
          <t>SEK</t>
        </is>
      </c>
      <c r="J18" s="4" t="n">
        <v>0.669578</v>
      </c>
      <c r="K18" s="5" t="n">
        <v>40862.89</v>
      </c>
      <c r="L18" s="6" t="n">
        <v>0.13</v>
      </c>
      <c r="M18" s="5" t="n">
        <v>4086.29</v>
      </c>
      <c r="N18" s="5">
        <f>K18*J18</f>
        <v/>
      </c>
      <c r="O18" s="5">
        <f>M18*J18</f>
        <v/>
      </c>
      <c r="P18" s="5">
        <f>K18-M18</f>
        <v/>
      </c>
      <c r="Q18" s="5">
        <f>N18-O18</f>
        <v/>
      </c>
      <c r="R18" s="2">
        <f>IF(Q18&lt;=0,0,TODAY()-H18)</f>
        <v/>
      </c>
      <c r="S18" s="2">
        <f>IF(Q18&lt;=0,"未到期",IF(S18&lt;=30,"1-30天",IF(S18&lt;=60,"31-60天",IF(S18&lt;=90,"61-90天",IF(S18&lt;=180,"91-180天","180天以上")))))</f>
        <v/>
      </c>
      <c r="T18" s="2">
        <f>IF(Q18&lt;=0,"未到期",IF(S18&gt;0,"逾期","已结清"))</f>
        <v/>
      </c>
    </row>
    <row r="19">
      <c r="A19" s="2" t="inlineStr">
        <is>
          <t>INV26100018</t>
        </is>
      </c>
      <c r="B19" s="2" t="inlineStr">
        <is>
          <t>C003</t>
        </is>
      </c>
      <c r="C19" s="2" t="inlineStr">
        <is>
          <t>ALPINE SPORT AG</t>
        </is>
      </c>
      <c r="D19" s="2" t="inlineStr">
        <is>
          <t>奥地利</t>
        </is>
      </c>
      <c r="E19" s="2" t="inlineStr">
        <is>
          <t>刘小源</t>
        </is>
      </c>
      <c r="F19" s="3" t="n">
        <v>46059</v>
      </c>
      <c r="G19" s="2" t="n">
        <v>45</v>
      </c>
      <c r="H19" s="3" t="n">
        <v>46104</v>
      </c>
      <c r="I19" s="2" t="inlineStr">
        <is>
          <t>EUR</t>
        </is>
      </c>
      <c r="J19" s="4" t="n">
        <v>7.662846</v>
      </c>
      <c r="K19" s="5" t="n">
        <v>34756.04</v>
      </c>
      <c r="L19" s="6" t="n">
        <v>0</v>
      </c>
      <c r="M19" s="5" t="n">
        <v>6951.21</v>
      </c>
      <c r="N19" s="5">
        <f>K19*J19</f>
        <v/>
      </c>
      <c r="O19" s="5">
        <f>M19*J19</f>
        <v/>
      </c>
      <c r="P19" s="5">
        <f>K19-M19</f>
        <v/>
      </c>
      <c r="Q19" s="5">
        <f>N19-O19</f>
        <v/>
      </c>
      <c r="R19" s="2">
        <f>IF(Q19&lt;=0,0,TODAY()-H19)</f>
        <v/>
      </c>
      <c r="S19" s="2">
        <f>IF(Q19&lt;=0,"未到期",IF(S19&lt;=30,"1-30天",IF(S19&lt;=60,"31-60天",IF(S19&lt;=90,"61-90天",IF(S19&lt;=180,"91-180天","180天以上")))))</f>
        <v/>
      </c>
      <c r="T19" s="2">
        <f>IF(Q19&lt;=0,"未到期",IF(S19&gt;0,"逾期","已结清"))</f>
        <v/>
      </c>
    </row>
    <row r="20">
      <c r="A20" s="2" t="inlineStr">
        <is>
          <t>INV26100019</t>
        </is>
      </c>
      <c r="B20" s="2" t="inlineStr">
        <is>
          <t>C010</t>
        </is>
      </c>
      <c r="C20" s="2" t="inlineStr">
        <is>
          <t>SAHARA DISTRIBUTION SARL</t>
        </is>
      </c>
      <c r="D20" s="2" t="inlineStr">
        <is>
          <t>摩洛哥</t>
        </is>
      </c>
      <c r="E20" s="2" t="inlineStr">
        <is>
          <t>刘小源</t>
        </is>
      </c>
      <c r="F20" s="3" t="n">
        <v>46248</v>
      </c>
      <c r="G20" s="2" t="n">
        <v>90</v>
      </c>
      <c r="H20" s="3" t="n">
        <v>46338</v>
      </c>
      <c r="I20" s="2" t="inlineStr">
        <is>
          <t>USD</t>
        </is>
      </c>
      <c r="J20" s="4" t="n">
        <v>7.02484</v>
      </c>
      <c r="K20" s="5" t="n">
        <v>119997.39</v>
      </c>
      <c r="L20" s="6" t="n">
        <v>0</v>
      </c>
      <c r="M20" s="5" t="n">
        <v>35999.22</v>
      </c>
      <c r="N20" s="5">
        <f>K20*J20</f>
        <v/>
      </c>
      <c r="O20" s="5">
        <f>M20*J20</f>
        <v/>
      </c>
      <c r="P20" s="5">
        <f>K20-M20</f>
        <v/>
      </c>
      <c r="Q20" s="5">
        <f>N20-O20</f>
        <v/>
      </c>
      <c r="R20" s="2">
        <f>IF(Q20&lt;=0,0,TODAY()-H20)</f>
        <v/>
      </c>
      <c r="S20" s="2">
        <f>IF(Q20&lt;=0,"未到期",IF(S20&lt;=30,"1-30天",IF(S20&lt;=60,"31-60天",IF(S20&lt;=90,"61-90天",IF(S20&lt;=180,"91-180天","180天以上")))))</f>
        <v/>
      </c>
      <c r="T20" s="2">
        <f>IF(Q20&lt;=0,"未到期",IF(S20&gt;0,"逾期","已结清"))</f>
        <v/>
      </c>
    </row>
    <row r="21">
      <c r="A21" s="2" t="inlineStr">
        <is>
          <t>INV26100020</t>
        </is>
      </c>
      <c r="B21" s="2" t="inlineStr">
        <is>
          <t>C007</t>
        </is>
      </c>
      <c r="C21" s="2" t="inlineStr">
        <is>
          <t>MAPLE LEAF IMPORTS INC</t>
        </is>
      </c>
      <c r="D21" s="2" t="inlineStr">
        <is>
          <t>加拿大</t>
        </is>
      </c>
      <c r="E21" s="2" t="inlineStr">
        <is>
          <t>周小杰</t>
        </is>
      </c>
      <c r="F21" s="3" t="n">
        <v>46300</v>
      </c>
      <c r="G21" s="2" t="n">
        <v>60</v>
      </c>
      <c r="H21" s="3" t="n">
        <v>46360</v>
      </c>
      <c r="I21" s="2" t="inlineStr">
        <is>
          <t>CAD</t>
        </is>
      </c>
      <c r="J21" s="4" t="n">
        <v>5.043157</v>
      </c>
      <c r="K21" s="5" t="n">
        <v>93917.53</v>
      </c>
      <c r="L21" s="6" t="n">
        <v>0</v>
      </c>
      <c r="M21" s="5" t="n">
        <v>0</v>
      </c>
      <c r="N21" s="5">
        <f>K21*J21</f>
        <v/>
      </c>
      <c r="O21" s="5">
        <f>M21*J21</f>
        <v/>
      </c>
      <c r="P21" s="5">
        <f>K21-M21</f>
        <v/>
      </c>
      <c r="Q21" s="5">
        <f>N21-O21</f>
        <v/>
      </c>
      <c r="R21" s="2">
        <f>IF(Q21&lt;=0,0,TODAY()-H21)</f>
        <v/>
      </c>
      <c r="S21" s="2">
        <f>IF(Q21&lt;=0,"未到期",IF(S21&lt;=30,"1-30天",IF(S21&lt;=60,"31-60天",IF(S21&lt;=90,"61-90天",IF(S21&lt;=180,"91-180天","180天以上")))))</f>
        <v/>
      </c>
      <c r="T21" s="2">
        <f>IF(Q21&lt;=0,"未到期",IF(S21&gt;0,"逾期","已结清"))</f>
        <v/>
      </c>
    </row>
    <row r="22">
      <c r="A22" s="2" t="inlineStr">
        <is>
          <t>INV26100021</t>
        </is>
      </c>
      <c r="B22" s="2" t="inlineStr">
        <is>
          <t>C011</t>
        </is>
      </c>
      <c r="C22" s="2" t="inlineStr">
        <is>
          <t>NILE TRADING CO</t>
        </is>
      </c>
      <c r="D22" s="2" t="inlineStr">
        <is>
          <t>埃及</t>
        </is>
      </c>
      <c r="E22" s="2" t="inlineStr">
        <is>
          <t>周小杰</t>
        </is>
      </c>
      <c r="F22" s="3" t="n">
        <v>46048</v>
      </c>
      <c r="G22" s="2" t="n">
        <v>90</v>
      </c>
      <c r="H22" s="3" t="n">
        <v>46138</v>
      </c>
      <c r="I22" s="2" t="inlineStr">
        <is>
          <t>USD</t>
        </is>
      </c>
      <c r="J22" s="4" t="n">
        <v>7.039406</v>
      </c>
      <c r="K22" s="5" t="n">
        <v>83322.84</v>
      </c>
      <c r="L22" s="6" t="n">
        <v>0.13</v>
      </c>
      <c r="M22" s="5" t="n">
        <v>16664.57</v>
      </c>
      <c r="N22" s="5">
        <f>K22*J22</f>
        <v/>
      </c>
      <c r="O22" s="5">
        <f>M22*J22</f>
        <v/>
      </c>
      <c r="P22" s="5">
        <f>K22-M22</f>
        <v/>
      </c>
      <c r="Q22" s="5">
        <f>N22-O22</f>
        <v/>
      </c>
      <c r="R22" s="2">
        <f>IF(Q22&lt;=0,0,TODAY()-H22)</f>
        <v/>
      </c>
      <c r="S22" s="2">
        <f>IF(Q22&lt;=0,"未到期",IF(S22&lt;=30,"1-30天",IF(S22&lt;=60,"31-60天",IF(S22&lt;=90,"61-90天",IF(S22&lt;=180,"91-180天","180天以上")))))</f>
        <v/>
      </c>
      <c r="T22" s="2">
        <f>IF(Q22&lt;=0,"未到期",IF(S22&gt;0,"逾期","已结清"))</f>
        <v/>
      </c>
    </row>
    <row r="23">
      <c r="A23" s="2" t="inlineStr">
        <is>
          <t>INV26100022</t>
        </is>
      </c>
      <c r="B23" s="2" t="inlineStr">
        <is>
          <t>C011</t>
        </is>
      </c>
      <c r="C23" s="2" t="inlineStr">
        <is>
          <t>NILE TRADING CO</t>
        </is>
      </c>
      <c r="D23" s="2" t="inlineStr">
        <is>
          <t>埃及</t>
        </is>
      </c>
      <c r="E23" s="2" t="inlineStr">
        <is>
          <t>张大丽</t>
        </is>
      </c>
      <c r="F23" s="3" t="n">
        <v>46128</v>
      </c>
      <c r="G23" s="2" t="n">
        <v>90</v>
      </c>
      <c r="H23" s="3" t="n">
        <v>46218</v>
      </c>
      <c r="I23" s="2" t="inlineStr">
        <is>
          <t>USD</t>
        </is>
      </c>
      <c r="J23" s="4" t="n">
        <v>7.048136</v>
      </c>
      <c r="K23" s="5" t="n">
        <v>17498.84</v>
      </c>
      <c r="L23" s="6" t="n">
        <v>0</v>
      </c>
      <c r="M23" s="5" t="n">
        <v>3499.77</v>
      </c>
      <c r="N23" s="5">
        <f>K23*J23</f>
        <v/>
      </c>
      <c r="O23" s="5">
        <f>M23*J23</f>
        <v/>
      </c>
      <c r="P23" s="5">
        <f>K23-M23</f>
        <v/>
      </c>
      <c r="Q23" s="5">
        <f>N23-O23</f>
        <v/>
      </c>
      <c r="R23" s="2">
        <f>IF(Q23&lt;=0,0,TODAY()-H23)</f>
        <v/>
      </c>
      <c r="S23" s="2">
        <f>IF(Q23&lt;=0,"未到期",IF(S23&lt;=30,"1-30天",IF(S23&lt;=60,"31-60天",IF(S23&lt;=90,"61-90天",IF(S23&lt;=180,"91-180天","180天以上")))))</f>
        <v/>
      </c>
      <c r="T23" s="2">
        <f>IF(Q23&lt;=0,"未到期",IF(S23&gt;0,"逾期","已结清"))</f>
        <v/>
      </c>
    </row>
    <row r="24">
      <c r="A24" s="2" t="inlineStr">
        <is>
          <t>INV26100023</t>
        </is>
      </c>
      <c r="B24" s="2" t="inlineStr">
        <is>
          <t>C001</t>
        </is>
      </c>
      <c r="C24" s="2" t="inlineStr">
        <is>
          <t>HANSA TRADING GmbH</t>
        </is>
      </c>
      <c r="D24" s="2" t="inlineStr">
        <is>
          <t>德国</t>
        </is>
      </c>
      <c r="E24" s="2" t="inlineStr">
        <is>
          <t>刘小源</t>
        </is>
      </c>
      <c r="F24" s="3" t="n">
        <v>46240</v>
      </c>
      <c r="G24" s="2" t="n">
        <v>30</v>
      </c>
      <c r="H24" s="3" t="n">
        <v>46270</v>
      </c>
      <c r="I24" s="2" t="inlineStr">
        <is>
          <t>EUR</t>
        </is>
      </c>
      <c r="J24" s="4" t="n">
        <v>7.665704</v>
      </c>
      <c r="K24" s="5" t="n">
        <v>79589.2</v>
      </c>
      <c r="L24" s="6" t="n">
        <v>0.13</v>
      </c>
      <c r="M24" s="5" t="n">
        <v>7958.92</v>
      </c>
      <c r="N24" s="5">
        <f>K24*J24</f>
        <v/>
      </c>
      <c r="O24" s="5">
        <f>M24*J24</f>
        <v/>
      </c>
      <c r="P24" s="5">
        <f>K24-M24</f>
        <v/>
      </c>
      <c r="Q24" s="5">
        <f>N24-O24</f>
        <v/>
      </c>
      <c r="R24" s="2">
        <f>IF(Q24&lt;=0,0,TODAY()-H24)</f>
        <v/>
      </c>
      <c r="S24" s="2">
        <f>IF(Q24&lt;=0,"未到期",IF(S24&lt;=30,"1-30天",IF(S24&lt;=60,"31-60天",IF(S24&lt;=90,"61-90天",IF(S24&lt;=180,"91-180天","180天以上")))))</f>
        <v/>
      </c>
      <c r="T24" s="2">
        <f>IF(Q24&lt;=0,"未到期",IF(S24&gt;0,"逾期","已结清"))</f>
        <v/>
      </c>
    </row>
    <row r="25">
      <c r="A25" s="2" t="inlineStr">
        <is>
          <t>INV26100024</t>
        </is>
      </c>
      <c r="B25" s="2" t="inlineStr">
        <is>
          <t>C001</t>
        </is>
      </c>
      <c r="C25" s="2" t="inlineStr">
        <is>
          <t>HANSA TRADING GmbH</t>
        </is>
      </c>
      <c r="D25" s="2" t="inlineStr">
        <is>
          <t>德国</t>
        </is>
      </c>
      <c r="E25" s="2" t="inlineStr">
        <is>
          <t>周小杰</t>
        </is>
      </c>
      <c r="F25" s="3" t="n">
        <v>46151</v>
      </c>
      <c r="G25" s="2" t="n">
        <v>30</v>
      </c>
      <c r="H25" s="3" t="n">
        <v>46181</v>
      </c>
      <c r="I25" s="2" t="inlineStr">
        <is>
          <t>EUR</t>
        </is>
      </c>
      <c r="J25" s="4" t="n">
        <v>7.683741</v>
      </c>
      <c r="K25" s="5" t="n">
        <v>23525.26</v>
      </c>
      <c r="L25" s="6" t="n">
        <v>0.13</v>
      </c>
      <c r="M25" s="5" t="n">
        <v>0</v>
      </c>
      <c r="N25" s="5">
        <f>K25*J25</f>
        <v/>
      </c>
      <c r="O25" s="5">
        <f>M25*J25</f>
        <v/>
      </c>
      <c r="P25" s="5">
        <f>K25-M25</f>
        <v/>
      </c>
      <c r="Q25" s="5">
        <f>N25-O25</f>
        <v/>
      </c>
      <c r="R25" s="2">
        <f>IF(Q25&lt;=0,0,TODAY()-H25)</f>
        <v/>
      </c>
      <c r="S25" s="2">
        <f>IF(Q25&lt;=0,"未到期",IF(S25&lt;=30,"1-30天",IF(S25&lt;=60,"31-60天",IF(S25&lt;=90,"61-90天",IF(S25&lt;=180,"91-180天","180天以上")))))</f>
        <v/>
      </c>
      <c r="T25" s="2">
        <f>IF(Q25&lt;=0,"未到期",IF(S25&gt;0,"逾期","已结清"))</f>
        <v/>
      </c>
    </row>
    <row r="26">
      <c r="A26" s="2" t="inlineStr">
        <is>
          <t>INV26100025</t>
        </is>
      </c>
      <c r="B26" s="2" t="inlineStr">
        <is>
          <t>C015</t>
        </is>
      </c>
      <c r="C26" s="2" t="inlineStr">
        <is>
          <t>HAN RIVER CO LTD</t>
        </is>
      </c>
      <c r="D26" s="2" t="inlineStr">
        <is>
          <t>韩国</t>
        </is>
      </c>
      <c r="E26" s="2" t="inlineStr">
        <is>
          <t>张大丽</t>
        </is>
      </c>
      <c r="F26" s="3" t="n">
        <v>46231</v>
      </c>
      <c r="G26" s="2" t="n">
        <v>30</v>
      </c>
      <c r="H26" s="3" t="n">
        <v>46261</v>
      </c>
      <c r="I26" s="2" t="inlineStr">
        <is>
          <t>USD</t>
        </is>
      </c>
      <c r="J26" s="4" t="n">
        <v>6.954203</v>
      </c>
      <c r="K26" s="5" t="n">
        <v>48693.17</v>
      </c>
      <c r="L26" s="6" t="n">
        <v>0</v>
      </c>
      <c r="M26" s="5" t="n">
        <v>4869.32</v>
      </c>
      <c r="N26" s="5">
        <f>K26*J26</f>
        <v/>
      </c>
      <c r="O26" s="5">
        <f>M26*J26</f>
        <v/>
      </c>
      <c r="P26" s="5">
        <f>K26-M26</f>
        <v/>
      </c>
      <c r="Q26" s="5">
        <f>N26-O26</f>
        <v/>
      </c>
      <c r="R26" s="2">
        <f>IF(Q26&lt;=0,0,TODAY()-H26)</f>
        <v/>
      </c>
      <c r="S26" s="2">
        <f>IF(Q26&lt;=0,"未到期",IF(S26&lt;=30,"1-30天",IF(S26&lt;=60,"31-60天",IF(S26&lt;=90,"61-90天",IF(S26&lt;=180,"91-180天","180天以上")))))</f>
        <v/>
      </c>
      <c r="T26" s="2">
        <f>IF(Q26&lt;=0,"未到期",IF(S26&gt;0,"逾期","已结清"))</f>
        <v/>
      </c>
    </row>
    <row r="27">
      <c r="A27" s="2" t="inlineStr">
        <is>
          <t>INV26100026</t>
        </is>
      </c>
      <c r="B27" s="2" t="inlineStr">
        <is>
          <t>C006</t>
        </is>
      </c>
      <c r="C27" s="2" t="inlineStr">
        <is>
          <t>ATLANTIC GOODS LTD</t>
        </is>
      </c>
      <c r="D27" s="2" t="inlineStr">
        <is>
          <t>英国</t>
        </is>
      </c>
      <c r="E27" s="2" t="inlineStr">
        <is>
          <t>周小杰</t>
        </is>
      </c>
      <c r="F27" s="3" t="n">
        <v>46069</v>
      </c>
      <c r="G27" s="2" t="n">
        <v>30</v>
      </c>
      <c r="H27" s="3" t="n">
        <v>46099</v>
      </c>
      <c r="I27" s="2" t="inlineStr">
        <is>
          <t>GBP</t>
        </is>
      </c>
      <c r="J27" s="4" t="n">
        <v>9.127846</v>
      </c>
      <c r="K27" s="5" t="n">
        <v>27789.46</v>
      </c>
      <c r="L27" s="6" t="n">
        <v>0.13</v>
      </c>
      <c r="M27" s="5" t="n">
        <v>0</v>
      </c>
      <c r="N27" s="5">
        <f>K27*J27</f>
        <v/>
      </c>
      <c r="O27" s="5">
        <f>M27*J27</f>
        <v/>
      </c>
      <c r="P27" s="5">
        <f>K27-M27</f>
        <v/>
      </c>
      <c r="Q27" s="5">
        <f>N27-O27</f>
        <v/>
      </c>
      <c r="R27" s="2">
        <f>IF(Q27&lt;=0,0,TODAY()-H27)</f>
        <v/>
      </c>
      <c r="S27" s="2">
        <f>IF(Q27&lt;=0,"未到期",IF(S27&lt;=30,"1-30天",IF(S27&lt;=60,"31-60天",IF(S27&lt;=90,"61-90天",IF(S27&lt;=180,"91-180天","180天以上")))))</f>
        <v/>
      </c>
      <c r="T27" s="2">
        <f>IF(Q27&lt;=0,"未到期",IF(S27&gt;0,"逾期","已结清"))</f>
        <v/>
      </c>
    </row>
    <row r="28">
      <c r="A28" s="2" t="inlineStr">
        <is>
          <t>INV26100027</t>
        </is>
      </c>
      <c r="B28" s="2" t="inlineStr">
        <is>
          <t>C013</t>
        </is>
      </c>
      <c r="C28" s="2" t="inlineStr">
        <is>
          <t>ORIENT BRIDGE PTE LTD</t>
        </is>
      </c>
      <c r="D28" s="2" t="inlineStr">
        <is>
          <t>新加坡</t>
        </is>
      </c>
      <c r="E28" s="2" t="inlineStr">
        <is>
          <t>张大丽</t>
        </is>
      </c>
      <c r="F28" s="3" t="n">
        <v>46233</v>
      </c>
      <c r="G28" s="2" t="n">
        <v>30</v>
      </c>
      <c r="H28" s="3" t="n">
        <v>46263</v>
      </c>
      <c r="I28" s="2" t="inlineStr">
        <is>
          <t>SGD</t>
        </is>
      </c>
      <c r="J28" s="4" t="n">
        <v>5.304476</v>
      </c>
      <c r="K28" s="5" t="n">
        <v>28999.56</v>
      </c>
      <c r="L28" s="6" t="n">
        <v>0.09</v>
      </c>
      <c r="M28" s="5" t="n">
        <v>8699.870000000001</v>
      </c>
      <c r="N28" s="5">
        <f>K28*J28</f>
        <v/>
      </c>
      <c r="O28" s="5">
        <f>M28*J28</f>
        <v/>
      </c>
      <c r="P28" s="5">
        <f>K28-M28</f>
        <v/>
      </c>
      <c r="Q28" s="5">
        <f>N28-O28</f>
        <v/>
      </c>
      <c r="R28" s="2">
        <f>IF(Q28&lt;=0,0,TODAY()-H28)</f>
        <v/>
      </c>
      <c r="S28" s="2">
        <f>IF(Q28&lt;=0,"未到期",IF(S28&lt;=30,"1-30天",IF(S28&lt;=60,"31-60天",IF(S28&lt;=90,"61-90天",IF(S28&lt;=180,"91-180天","180天以上")))))</f>
        <v/>
      </c>
      <c r="T28" s="2">
        <f>IF(Q28&lt;=0,"未到期",IF(S28&gt;0,"逾期","已结清"))</f>
        <v/>
      </c>
    </row>
    <row r="29">
      <c r="A29" s="2" t="inlineStr">
        <is>
          <t>INV26100028</t>
        </is>
      </c>
      <c r="B29" s="2" t="inlineStr">
        <is>
          <t>C010</t>
        </is>
      </c>
      <c r="C29" s="2" t="inlineStr">
        <is>
          <t>SAHARA DISTRIBUTION SARL</t>
        </is>
      </c>
      <c r="D29" s="2" t="inlineStr">
        <is>
          <t>摩洛哥</t>
        </is>
      </c>
      <c r="E29" s="2" t="inlineStr">
        <is>
          <t>周小杰</t>
        </is>
      </c>
      <c r="F29" s="3" t="n">
        <v>46266</v>
      </c>
      <c r="G29" s="2" t="n">
        <v>90</v>
      </c>
      <c r="H29" s="3" t="n">
        <v>46356</v>
      </c>
      <c r="I29" s="2" t="inlineStr">
        <is>
          <t>USD</t>
        </is>
      </c>
      <c r="J29" s="4" t="n">
        <v>6.941161</v>
      </c>
      <c r="K29" s="5" t="n">
        <v>113847.49</v>
      </c>
      <c r="L29" s="6" t="n">
        <v>0.13</v>
      </c>
      <c r="M29" s="5" t="n">
        <v>0</v>
      </c>
      <c r="N29" s="5">
        <f>K29*J29</f>
        <v/>
      </c>
      <c r="O29" s="5">
        <f>M29*J29</f>
        <v/>
      </c>
      <c r="P29" s="5">
        <f>K29-M29</f>
        <v/>
      </c>
      <c r="Q29" s="5">
        <f>N29-O29</f>
        <v/>
      </c>
      <c r="R29" s="2">
        <f>IF(Q29&lt;=0,0,TODAY()-H29)</f>
        <v/>
      </c>
      <c r="S29" s="2">
        <f>IF(Q29&lt;=0,"未到期",IF(S29&lt;=30,"1-30天",IF(S29&lt;=60,"31-60天",IF(S29&lt;=90,"61-90天",IF(S29&lt;=180,"91-180天","180天以上")))))</f>
        <v/>
      </c>
      <c r="T29" s="2">
        <f>IF(Q29&lt;=0,"未到期",IF(S29&gt;0,"逾期","已结清"))</f>
        <v/>
      </c>
    </row>
    <row r="30">
      <c r="A30" s="2" t="inlineStr">
        <is>
          <t>INV26100029</t>
        </is>
      </c>
      <c r="B30" s="2" t="inlineStr">
        <is>
          <t>C009</t>
        </is>
      </c>
      <c r="C30" s="2" t="inlineStr">
        <is>
          <t>GOLDEN GATE SUPPLY CO</t>
        </is>
      </c>
      <c r="D30" s="2" t="inlineStr">
        <is>
          <t>美国</t>
        </is>
      </c>
      <c r="E30" s="2" t="inlineStr">
        <is>
          <t>张大丽</t>
        </is>
      </c>
      <c r="F30" s="3" t="n">
        <v>46272</v>
      </c>
      <c r="G30" s="2" t="n">
        <v>30</v>
      </c>
      <c r="H30" s="3" t="n">
        <v>46302</v>
      </c>
      <c r="I30" s="2" t="inlineStr">
        <is>
          <t>USD</t>
        </is>
      </c>
      <c r="J30" s="4" t="n">
        <v>6.937998</v>
      </c>
      <c r="K30" s="5" t="n">
        <v>117336.12</v>
      </c>
      <c r="L30" s="6" t="n">
        <v>0.13</v>
      </c>
      <c r="M30" s="5" t="n">
        <v>46934.45</v>
      </c>
      <c r="N30" s="5">
        <f>K30*J30</f>
        <v/>
      </c>
      <c r="O30" s="5">
        <f>M30*J30</f>
        <v/>
      </c>
      <c r="P30" s="5">
        <f>K30-M30</f>
        <v/>
      </c>
      <c r="Q30" s="5">
        <f>N30-O30</f>
        <v/>
      </c>
      <c r="R30" s="2">
        <f>IF(Q30&lt;=0,0,TODAY()-H30)</f>
        <v/>
      </c>
      <c r="S30" s="2">
        <f>IF(Q30&lt;=0,"未到期",IF(S30&lt;=30,"1-30天",IF(S30&lt;=60,"31-60天",IF(S30&lt;=90,"61-90天",IF(S30&lt;=180,"91-180天","180天以上")))))</f>
        <v/>
      </c>
      <c r="T30" s="2">
        <f>IF(Q30&lt;=0,"未到期",IF(S30&gt;0,"逾期","已结清"))</f>
        <v/>
      </c>
    </row>
    <row r="31">
      <c r="A31" s="2" t="inlineStr">
        <is>
          <t>INV26100030</t>
        </is>
      </c>
      <c r="B31" s="2" t="inlineStr">
        <is>
          <t>C017</t>
        </is>
      </c>
      <c r="C31" s="2" t="inlineStr">
        <is>
          <t>ANDES COMERCIAL SA</t>
        </is>
      </c>
      <c r="D31" s="2" t="inlineStr">
        <is>
          <t>智利</t>
        </is>
      </c>
      <c r="E31" s="2" t="inlineStr">
        <is>
          <t>刘小源</t>
        </is>
      </c>
      <c r="F31" s="3" t="n">
        <v>46236</v>
      </c>
      <c r="G31" s="2" t="n">
        <v>90</v>
      </c>
      <c r="H31" s="3" t="n">
        <v>46326</v>
      </c>
      <c r="I31" s="2" t="inlineStr">
        <is>
          <t>USD</t>
        </is>
      </c>
      <c r="J31" s="4" t="n">
        <v>6.986966</v>
      </c>
      <c r="K31" s="5" t="n">
        <v>96361.07000000001</v>
      </c>
      <c r="L31" s="6" t="n">
        <v>0.09</v>
      </c>
      <c r="M31" s="5" t="n">
        <v>0</v>
      </c>
      <c r="N31" s="5">
        <f>K31*J31</f>
        <v/>
      </c>
      <c r="O31" s="5">
        <f>M31*J31</f>
        <v/>
      </c>
      <c r="P31" s="5">
        <f>K31-M31</f>
        <v/>
      </c>
      <c r="Q31" s="5">
        <f>N31-O31</f>
        <v/>
      </c>
      <c r="R31" s="2">
        <f>IF(Q31&lt;=0,0,TODAY()-H31)</f>
        <v/>
      </c>
      <c r="S31" s="2">
        <f>IF(Q31&lt;=0,"未到期",IF(S31&lt;=30,"1-30天",IF(S31&lt;=60,"31-60天",IF(S31&lt;=90,"61-90天",IF(S31&lt;=180,"91-180天","180天以上")))))</f>
        <v/>
      </c>
      <c r="T31" s="2">
        <f>IF(Q31&lt;=0,"未到期",IF(S31&gt;0,"逾期","已结清"))</f>
        <v/>
      </c>
    </row>
    <row r="32">
      <c r="A32" s="2" t="inlineStr">
        <is>
          <t>INV26100031</t>
        </is>
      </c>
      <c r="B32" s="2" t="inlineStr">
        <is>
          <t>C015</t>
        </is>
      </c>
      <c r="C32" s="2" t="inlineStr">
        <is>
          <t>HAN RIVER CO LTD</t>
        </is>
      </c>
      <c r="D32" s="2" t="inlineStr">
        <is>
          <t>韩国</t>
        </is>
      </c>
      <c r="E32" s="2" t="inlineStr">
        <is>
          <t>张大丽</t>
        </is>
      </c>
      <c r="F32" s="3" t="n">
        <v>46237</v>
      </c>
      <c r="G32" s="2" t="n">
        <v>30</v>
      </c>
      <c r="H32" s="3" t="n">
        <v>46267</v>
      </c>
      <c r="I32" s="2" t="inlineStr">
        <is>
          <t>USD</t>
        </is>
      </c>
      <c r="J32" s="4" t="n">
        <v>7.006172</v>
      </c>
      <c r="K32" s="5" t="n">
        <v>59261.31</v>
      </c>
      <c r="L32" s="6" t="n">
        <v>0</v>
      </c>
      <c r="M32" s="5" t="n">
        <v>0</v>
      </c>
      <c r="N32" s="5">
        <f>K32*J32</f>
        <v/>
      </c>
      <c r="O32" s="5">
        <f>M32*J32</f>
        <v/>
      </c>
      <c r="P32" s="5">
        <f>K32-M32</f>
        <v/>
      </c>
      <c r="Q32" s="5">
        <f>N32-O32</f>
        <v/>
      </c>
      <c r="R32" s="2">
        <f>IF(Q32&lt;=0,0,TODAY()-H32)</f>
        <v/>
      </c>
      <c r="S32" s="2">
        <f>IF(Q32&lt;=0,"未到期",IF(S32&lt;=30,"1-30天",IF(S32&lt;=60,"31-60天",IF(S32&lt;=90,"61-90天",IF(S32&lt;=180,"91-180天","180天以上")))))</f>
        <v/>
      </c>
      <c r="T32" s="2">
        <f>IF(Q32&lt;=0,"未到期",IF(S32&gt;0,"逾期","已结清"))</f>
        <v/>
      </c>
    </row>
    <row r="33">
      <c r="A33" s="2" t="inlineStr">
        <is>
          <t>INV26100032</t>
        </is>
      </c>
      <c r="B33" s="2" t="inlineStr">
        <is>
          <t>C004</t>
        </is>
      </c>
      <c r="C33" s="2" t="inlineStr">
        <is>
          <t>MEDITERRANEO SRL</t>
        </is>
      </c>
      <c r="D33" s="2" t="inlineStr">
        <is>
          <t>意大利</t>
        </is>
      </c>
      <c r="E33" s="2" t="inlineStr">
        <is>
          <t>周小杰</t>
        </is>
      </c>
      <c r="F33" s="3" t="n">
        <v>46253</v>
      </c>
      <c r="G33" s="2" t="n">
        <v>60</v>
      </c>
      <c r="H33" s="3" t="n">
        <v>46313</v>
      </c>
      <c r="I33" s="2" t="inlineStr">
        <is>
          <t>EUR</t>
        </is>
      </c>
      <c r="J33" s="4" t="n">
        <v>7.66774</v>
      </c>
      <c r="K33" s="5" t="n">
        <v>16846.41</v>
      </c>
      <c r="L33" s="6" t="n">
        <v>0.09</v>
      </c>
      <c r="M33" s="5" t="n">
        <v>6738.56</v>
      </c>
      <c r="N33" s="5">
        <f>K33*J33</f>
        <v/>
      </c>
      <c r="O33" s="5">
        <f>M33*J33</f>
        <v/>
      </c>
      <c r="P33" s="5">
        <f>K33-M33</f>
        <v/>
      </c>
      <c r="Q33" s="5">
        <f>N33-O33</f>
        <v/>
      </c>
      <c r="R33" s="2">
        <f>IF(Q33&lt;=0,0,TODAY()-H33)</f>
        <v/>
      </c>
      <c r="S33" s="2">
        <f>IF(Q33&lt;=0,"未到期",IF(S33&lt;=30,"1-30天",IF(S33&lt;=60,"31-60天",IF(S33&lt;=90,"61-90天",IF(S33&lt;=180,"91-180天","180天以上")))))</f>
        <v/>
      </c>
      <c r="T33" s="2">
        <f>IF(Q33&lt;=0,"未到期",IF(S33&gt;0,"逾期","已结清"))</f>
        <v/>
      </c>
    </row>
    <row r="34">
      <c r="A34" s="2" t="inlineStr">
        <is>
          <t>INV26100033</t>
        </is>
      </c>
      <c r="B34" s="2" t="inlineStr">
        <is>
          <t>C002</t>
        </is>
      </c>
      <c r="C34" s="2" t="inlineStr">
        <is>
          <t>NORDIC HOME AB</t>
        </is>
      </c>
      <c r="D34" s="2" t="inlineStr">
        <is>
          <t>瑞典</t>
        </is>
      </c>
      <c r="E34" s="2" t="inlineStr">
        <is>
          <t>张大丽</t>
        </is>
      </c>
      <c r="F34" s="3" t="n">
        <v>46229</v>
      </c>
      <c r="G34" s="2" t="n">
        <v>30</v>
      </c>
      <c r="H34" s="3" t="n">
        <v>46259</v>
      </c>
      <c r="I34" s="2" t="inlineStr">
        <is>
          <t>SEK</t>
        </is>
      </c>
      <c r="J34" s="4" t="n">
        <v>0.661461</v>
      </c>
      <c r="K34" s="5" t="n">
        <v>27355.29</v>
      </c>
      <c r="L34" s="6" t="n">
        <v>0.09</v>
      </c>
      <c r="M34" s="5" t="n">
        <v>2735.53</v>
      </c>
      <c r="N34" s="5">
        <f>K34*J34</f>
        <v/>
      </c>
      <c r="O34" s="5">
        <f>M34*J34</f>
        <v/>
      </c>
      <c r="P34" s="5">
        <f>K34-M34</f>
        <v/>
      </c>
      <c r="Q34" s="5">
        <f>N34-O34</f>
        <v/>
      </c>
      <c r="R34" s="2">
        <f>IF(Q34&lt;=0,0,TODAY()-H34)</f>
        <v/>
      </c>
      <c r="S34" s="2">
        <f>IF(Q34&lt;=0,"未到期",IF(S34&lt;=30,"1-30天",IF(S34&lt;=60,"31-60天",IF(S34&lt;=90,"61-90天",IF(S34&lt;=180,"91-180天","180天以上")))))</f>
        <v/>
      </c>
      <c r="T34" s="2">
        <f>IF(Q34&lt;=0,"未到期",IF(S34&gt;0,"逾期","已结清"))</f>
        <v/>
      </c>
    </row>
    <row r="35">
      <c r="A35" s="2" t="inlineStr">
        <is>
          <t>INV26100034</t>
        </is>
      </c>
      <c r="B35" s="2" t="inlineStr">
        <is>
          <t>C008</t>
        </is>
      </c>
      <c r="C35" s="2" t="inlineStr">
        <is>
          <t>PACIFIC RIM LLC</t>
        </is>
      </c>
      <c r="D35" s="2" t="inlineStr">
        <is>
          <t>美国</t>
        </is>
      </c>
      <c r="E35" s="2" t="inlineStr">
        <is>
          <t>张大丽</t>
        </is>
      </c>
      <c r="F35" s="3" t="n">
        <v>46294</v>
      </c>
      <c r="G35" s="2" t="n">
        <v>60</v>
      </c>
      <c r="H35" s="3" t="n">
        <v>46354</v>
      </c>
      <c r="I35" s="2" t="inlineStr">
        <is>
          <t>USD</t>
        </is>
      </c>
      <c r="J35" s="4" t="n">
        <v>6.956483</v>
      </c>
      <c r="K35" s="5" t="n">
        <v>113811.37</v>
      </c>
      <c r="L35" s="6" t="n">
        <v>0.13</v>
      </c>
      <c r="M35" s="5" t="n">
        <v>0</v>
      </c>
      <c r="N35" s="5">
        <f>K35*J35</f>
        <v/>
      </c>
      <c r="O35" s="5">
        <f>M35*J35</f>
        <v/>
      </c>
      <c r="P35" s="5">
        <f>K35-M35</f>
        <v/>
      </c>
      <c r="Q35" s="5">
        <f>N35-O35</f>
        <v/>
      </c>
      <c r="R35" s="2">
        <f>IF(Q35&lt;=0,0,TODAY()-H35)</f>
        <v/>
      </c>
      <c r="S35" s="2">
        <f>IF(Q35&lt;=0,"未到期",IF(S35&lt;=30,"1-30天",IF(S35&lt;=60,"31-60天",IF(S35&lt;=90,"61-90天",IF(S35&lt;=180,"91-180天","180天以上")))))</f>
        <v/>
      </c>
      <c r="T35" s="2">
        <f>IF(Q35&lt;=0,"未到期",IF(S35&gt;0,"逾期","已结清"))</f>
        <v/>
      </c>
    </row>
    <row r="36">
      <c r="A36" s="2" t="inlineStr">
        <is>
          <t>INV26100035</t>
        </is>
      </c>
      <c r="B36" s="2" t="inlineStr">
        <is>
          <t>C019</t>
        </is>
      </c>
      <c r="C36" s="2" t="inlineStr">
        <is>
          <t>KIEV IMPORT GROUP</t>
        </is>
      </c>
      <c r="D36" s="2" t="inlineStr">
        <is>
          <t>乌克兰</t>
        </is>
      </c>
      <c r="E36" s="2" t="inlineStr">
        <is>
          <t>刘小源</t>
        </is>
      </c>
      <c r="F36" s="3" t="n">
        <v>46307</v>
      </c>
      <c r="G36" s="2" t="n">
        <v>120</v>
      </c>
      <c r="H36" s="3" t="n">
        <v>46427</v>
      </c>
      <c r="I36" s="2" t="inlineStr">
        <is>
          <t>USD</t>
        </is>
      </c>
      <c r="J36" s="4" t="n">
        <v>6.916716</v>
      </c>
      <c r="K36" s="5" t="n">
        <v>39216.32</v>
      </c>
      <c r="L36" s="6" t="n">
        <v>0</v>
      </c>
      <c r="M36" s="5" t="n">
        <v>0</v>
      </c>
      <c r="N36" s="5">
        <f>K36*J36</f>
        <v/>
      </c>
      <c r="O36" s="5">
        <f>M36*J36</f>
        <v/>
      </c>
      <c r="P36" s="5">
        <f>K36-M36</f>
        <v/>
      </c>
      <c r="Q36" s="5">
        <f>N36-O36</f>
        <v/>
      </c>
      <c r="R36" s="2">
        <f>IF(Q36&lt;=0,0,TODAY()-H36)</f>
        <v/>
      </c>
      <c r="S36" s="2">
        <f>IF(Q36&lt;=0,"未到期",IF(S36&lt;=30,"1-30天",IF(S36&lt;=60,"31-60天",IF(S36&lt;=90,"61-90天",IF(S36&lt;=180,"91-180天","180天以上")))))</f>
        <v/>
      </c>
      <c r="T36" s="2">
        <f>IF(Q36&lt;=0,"未到期",IF(S36&gt;0,"逾期","已结清"))</f>
        <v/>
      </c>
    </row>
    <row r="37">
      <c r="A37" s="2" t="inlineStr">
        <is>
          <t>INV26100036</t>
        </is>
      </c>
      <c r="B37" s="2" t="inlineStr">
        <is>
          <t>C010</t>
        </is>
      </c>
      <c r="C37" s="2" t="inlineStr">
        <is>
          <t>SAHARA DISTRIBUTION SARL</t>
        </is>
      </c>
      <c r="D37" s="2" t="inlineStr">
        <is>
          <t>摩洛哥</t>
        </is>
      </c>
      <c r="E37" s="2" t="inlineStr">
        <is>
          <t>张大丽</t>
        </is>
      </c>
      <c r="F37" s="3" t="n">
        <v>46141</v>
      </c>
      <c r="G37" s="2" t="n">
        <v>90</v>
      </c>
      <c r="H37" s="3" t="n">
        <v>46231</v>
      </c>
      <c r="I37" s="2" t="inlineStr">
        <is>
          <t>USD</t>
        </is>
      </c>
      <c r="J37" s="4" t="n">
        <v>7.144055</v>
      </c>
      <c r="K37" s="5" t="n">
        <v>65966.34</v>
      </c>
      <c r="L37" s="6" t="n">
        <v>0.09</v>
      </c>
      <c r="M37" s="5" t="n">
        <v>13193.27</v>
      </c>
      <c r="N37" s="5">
        <f>K37*J37</f>
        <v/>
      </c>
      <c r="O37" s="5">
        <f>M37*J37</f>
        <v/>
      </c>
      <c r="P37" s="5">
        <f>K37-M37</f>
        <v/>
      </c>
      <c r="Q37" s="5">
        <f>N37-O37</f>
        <v/>
      </c>
      <c r="R37" s="2">
        <f>IF(Q37&lt;=0,0,TODAY()-H37)</f>
        <v/>
      </c>
      <c r="S37" s="2">
        <f>IF(Q37&lt;=0,"未到期",IF(S37&lt;=30,"1-30天",IF(S37&lt;=60,"31-60天",IF(S37&lt;=90,"61-90天",IF(S37&lt;=180,"91-180天","180天以上")))))</f>
        <v/>
      </c>
      <c r="T37" s="2">
        <f>IF(Q37&lt;=0,"未到期",IF(S37&gt;0,"逾期","已结清"))</f>
        <v/>
      </c>
    </row>
    <row r="38">
      <c r="A38" s="2" t="inlineStr">
        <is>
          <t>INV26100037</t>
        </is>
      </c>
      <c r="B38" s="2" t="inlineStr">
        <is>
          <t>C019</t>
        </is>
      </c>
      <c r="C38" s="2" t="inlineStr">
        <is>
          <t>KIEV IMPORT GROUP</t>
        </is>
      </c>
      <c r="D38" s="2" t="inlineStr">
        <is>
          <t>乌克兰</t>
        </is>
      </c>
      <c r="E38" s="2" t="inlineStr">
        <is>
          <t>张大丽</t>
        </is>
      </c>
      <c r="F38" s="3" t="n">
        <v>46224</v>
      </c>
      <c r="G38" s="2" t="n">
        <v>120</v>
      </c>
      <c r="H38" s="3" t="n">
        <v>46344</v>
      </c>
      <c r="I38" s="2" t="inlineStr">
        <is>
          <t>USD</t>
        </is>
      </c>
      <c r="J38" s="4" t="n">
        <v>7.027745</v>
      </c>
      <c r="K38" s="5" t="n">
        <v>90619.16</v>
      </c>
      <c r="L38" s="6" t="n">
        <v>0</v>
      </c>
      <c r="M38" s="5" t="n">
        <v>90619.16</v>
      </c>
      <c r="N38" s="5">
        <f>K38*J38</f>
        <v/>
      </c>
      <c r="O38" s="5">
        <f>M38*J38</f>
        <v/>
      </c>
      <c r="P38" s="5">
        <f>K38-M38</f>
        <v/>
      </c>
      <c r="Q38" s="5">
        <f>N38-O38</f>
        <v/>
      </c>
      <c r="R38" s="2">
        <f>IF(Q38&lt;=0,0,TODAY()-H38)</f>
        <v/>
      </c>
      <c r="S38" s="2">
        <f>IF(Q38&lt;=0,"未到期",IF(S38&lt;=30,"1-30天",IF(S38&lt;=60,"31-60天",IF(S38&lt;=90,"61-90天",IF(S38&lt;=180,"91-180天","180天以上")))))</f>
        <v/>
      </c>
      <c r="T38" s="2">
        <f>IF(Q38&lt;=0,"未到期",IF(S38&gt;0,"逾期","已结清"))</f>
        <v/>
      </c>
    </row>
    <row r="39">
      <c r="A39" s="2" t="inlineStr">
        <is>
          <t>INV26100038</t>
        </is>
      </c>
      <c r="B39" s="2" t="inlineStr">
        <is>
          <t>C004</t>
        </is>
      </c>
      <c r="C39" s="2" t="inlineStr">
        <is>
          <t>MEDITERRANEO SRL</t>
        </is>
      </c>
      <c r="D39" s="2" t="inlineStr">
        <is>
          <t>意大利</t>
        </is>
      </c>
      <c r="E39" s="2" t="inlineStr">
        <is>
          <t>周小杰</t>
        </is>
      </c>
      <c r="F39" s="3" t="n">
        <v>46216</v>
      </c>
      <c r="G39" s="2" t="n">
        <v>60</v>
      </c>
      <c r="H39" s="3" t="n">
        <v>46276</v>
      </c>
      <c r="I39" s="2" t="inlineStr">
        <is>
          <t>EUR</t>
        </is>
      </c>
      <c r="J39" s="4" t="n">
        <v>7.647161</v>
      </c>
      <c r="K39" s="5" t="n">
        <v>105194.17</v>
      </c>
      <c r="L39" s="6" t="n">
        <v>0.13</v>
      </c>
      <c r="M39" s="5" t="n">
        <v>0</v>
      </c>
      <c r="N39" s="5">
        <f>K39*J39</f>
        <v/>
      </c>
      <c r="O39" s="5">
        <f>M39*J39</f>
        <v/>
      </c>
      <c r="P39" s="5">
        <f>K39-M39</f>
        <v/>
      </c>
      <c r="Q39" s="5">
        <f>N39-O39</f>
        <v/>
      </c>
      <c r="R39" s="2">
        <f>IF(Q39&lt;=0,0,TODAY()-H39)</f>
        <v/>
      </c>
      <c r="S39" s="2">
        <f>IF(Q39&lt;=0,"未到期",IF(S39&lt;=30,"1-30天",IF(S39&lt;=60,"31-60天",IF(S39&lt;=90,"61-90天",IF(S39&lt;=180,"91-180天","180天以上")))))</f>
        <v/>
      </c>
      <c r="T39" s="2">
        <f>IF(Q39&lt;=0,"未到期",IF(S39&gt;0,"逾期","已结清"))</f>
        <v/>
      </c>
    </row>
    <row r="40">
      <c r="A40" s="2" t="inlineStr">
        <is>
          <t>INV26100039</t>
        </is>
      </c>
      <c r="B40" s="2" t="inlineStr">
        <is>
          <t>C008</t>
        </is>
      </c>
      <c r="C40" s="2" t="inlineStr">
        <is>
          <t>PACIFIC RIM LLC</t>
        </is>
      </c>
      <c r="D40" s="2" t="inlineStr">
        <is>
          <t>美国</t>
        </is>
      </c>
      <c r="E40" s="2" t="inlineStr">
        <is>
          <t>周小杰</t>
        </is>
      </c>
      <c r="F40" s="3" t="n">
        <v>46088</v>
      </c>
      <c r="G40" s="2" t="n">
        <v>60</v>
      </c>
      <c r="H40" s="3" t="n">
        <v>46148</v>
      </c>
      <c r="I40" s="2" t="inlineStr">
        <is>
          <t>USD</t>
        </is>
      </c>
      <c r="J40" s="4" t="n">
        <v>7.01545</v>
      </c>
      <c r="K40" s="5" t="n">
        <v>72355.47</v>
      </c>
      <c r="L40" s="6" t="n">
        <v>0.09</v>
      </c>
      <c r="M40" s="5" t="n">
        <v>0</v>
      </c>
      <c r="N40" s="5">
        <f>K40*J40</f>
        <v/>
      </c>
      <c r="O40" s="5">
        <f>M40*J40</f>
        <v/>
      </c>
      <c r="P40" s="5">
        <f>K40-M40</f>
        <v/>
      </c>
      <c r="Q40" s="5">
        <f>N40-O40</f>
        <v/>
      </c>
      <c r="R40" s="2">
        <f>IF(Q40&lt;=0,0,TODAY()-H40)</f>
        <v/>
      </c>
      <c r="S40" s="2">
        <f>IF(Q40&lt;=0,"未到期",IF(S40&lt;=30,"1-30天",IF(S40&lt;=60,"31-60天",IF(S40&lt;=90,"61-90天",IF(S40&lt;=180,"91-180天","180天以上")))))</f>
        <v/>
      </c>
      <c r="T40" s="2">
        <f>IF(Q40&lt;=0,"未到期",IF(S40&gt;0,"逾期","已结清"))</f>
        <v/>
      </c>
    </row>
    <row r="41">
      <c r="A41" s="2" t="inlineStr">
        <is>
          <t>INV26100040</t>
        </is>
      </c>
      <c r="B41" s="2" t="inlineStr">
        <is>
          <t>C012</t>
        </is>
      </c>
      <c r="C41" s="2" t="inlineStr">
        <is>
          <t>GULF STAR GENERAL TRD</t>
        </is>
      </c>
      <c r="D41" s="2" t="inlineStr">
        <is>
          <t>阿联酋</t>
        </is>
      </c>
      <c r="E41" s="2" t="inlineStr">
        <is>
          <t>刘小源</t>
        </is>
      </c>
      <c r="F41" s="3" t="n">
        <v>46261</v>
      </c>
      <c r="G41" s="2" t="n">
        <v>45</v>
      </c>
      <c r="H41" s="3" t="n">
        <v>46306</v>
      </c>
      <c r="I41" s="2" t="inlineStr">
        <is>
          <t>USD</t>
        </is>
      </c>
      <c r="J41" s="4" t="n">
        <v>7.010282</v>
      </c>
      <c r="K41" s="5" t="n">
        <v>83198.37</v>
      </c>
      <c r="L41" s="6" t="n">
        <v>0.13</v>
      </c>
      <c r="M41" s="5" t="n">
        <v>0</v>
      </c>
      <c r="N41" s="5">
        <f>K41*J41</f>
        <v/>
      </c>
      <c r="O41" s="5">
        <f>M41*J41</f>
        <v/>
      </c>
      <c r="P41" s="5">
        <f>K41-M41</f>
        <v/>
      </c>
      <c r="Q41" s="5">
        <f>N41-O41</f>
        <v/>
      </c>
      <c r="R41" s="2">
        <f>IF(Q41&lt;=0,0,TODAY()-H41)</f>
        <v/>
      </c>
      <c r="S41" s="2">
        <f>IF(Q41&lt;=0,"未到期",IF(S41&lt;=30,"1-30天",IF(S41&lt;=60,"31-60天",IF(S41&lt;=90,"61-90天",IF(S41&lt;=180,"91-180天","180天以上")))))</f>
        <v/>
      </c>
      <c r="T41" s="2">
        <f>IF(Q41&lt;=0,"未到期",IF(S41&gt;0,"逾期","已结清"))</f>
        <v/>
      </c>
    </row>
    <row r="42">
      <c r="A42" s="2" t="inlineStr">
        <is>
          <t>INV26100041</t>
        </is>
      </c>
      <c r="B42" s="2" t="inlineStr">
        <is>
          <t>C003</t>
        </is>
      </c>
      <c r="C42" s="2" t="inlineStr">
        <is>
          <t>ALPINE SPORT AG</t>
        </is>
      </c>
      <c r="D42" s="2" t="inlineStr">
        <is>
          <t>奥地利</t>
        </is>
      </c>
      <c r="E42" s="2" t="inlineStr">
        <is>
          <t>刘小源</t>
        </is>
      </c>
      <c r="F42" s="3" t="n">
        <v>46301</v>
      </c>
      <c r="G42" s="2" t="n">
        <v>45</v>
      </c>
      <c r="H42" s="3" t="n">
        <v>46346</v>
      </c>
      <c r="I42" s="2" t="inlineStr">
        <is>
          <t>EUR</t>
        </is>
      </c>
      <c r="J42" s="4" t="n">
        <v>7.653822</v>
      </c>
      <c r="K42" s="5" t="n">
        <v>41703.2</v>
      </c>
      <c r="L42" s="6" t="n">
        <v>0.09</v>
      </c>
      <c r="M42" s="5" t="n">
        <v>0</v>
      </c>
      <c r="N42" s="5">
        <f>K42*J42</f>
        <v/>
      </c>
      <c r="O42" s="5">
        <f>M42*J42</f>
        <v/>
      </c>
      <c r="P42" s="5">
        <f>K42-M42</f>
        <v/>
      </c>
      <c r="Q42" s="5">
        <f>N42-O42</f>
        <v/>
      </c>
      <c r="R42" s="2">
        <f>IF(Q42&lt;=0,0,TODAY()-H42)</f>
        <v/>
      </c>
      <c r="S42" s="2">
        <f>IF(Q42&lt;=0,"未到期",IF(S42&lt;=30,"1-30天",IF(S42&lt;=60,"31-60天",IF(S42&lt;=90,"61-90天",IF(S42&lt;=180,"91-180天","180天以上")))))</f>
        <v/>
      </c>
      <c r="T42" s="2">
        <f>IF(Q42&lt;=0,"未到期",IF(S42&gt;0,"逾期","已结清"))</f>
        <v/>
      </c>
    </row>
    <row r="43">
      <c r="A43" s="2" t="inlineStr">
        <is>
          <t>INV26100042</t>
        </is>
      </c>
      <c r="B43" s="2" t="inlineStr">
        <is>
          <t>C002</t>
        </is>
      </c>
      <c r="C43" s="2" t="inlineStr">
        <is>
          <t>NORDIC HOME AB</t>
        </is>
      </c>
      <c r="D43" s="2" t="inlineStr">
        <is>
          <t>瑞典</t>
        </is>
      </c>
      <c r="E43" s="2" t="inlineStr">
        <is>
          <t>周小杰</t>
        </is>
      </c>
      <c r="F43" s="3" t="n">
        <v>46188</v>
      </c>
      <c r="G43" s="2" t="n">
        <v>30</v>
      </c>
      <c r="H43" s="3" t="n">
        <v>46218</v>
      </c>
      <c r="I43" s="2" t="inlineStr">
        <is>
          <t>SEK</t>
        </is>
      </c>
      <c r="J43" s="4" t="n">
        <v>0.664382</v>
      </c>
      <c r="K43" s="5" t="n">
        <v>10783.23</v>
      </c>
      <c r="L43" s="6" t="n">
        <v>0.09</v>
      </c>
      <c r="M43" s="5" t="n">
        <v>2156.65</v>
      </c>
      <c r="N43" s="5">
        <f>K43*J43</f>
        <v/>
      </c>
      <c r="O43" s="5">
        <f>M43*J43</f>
        <v/>
      </c>
      <c r="P43" s="5">
        <f>K43-M43</f>
        <v/>
      </c>
      <c r="Q43" s="5">
        <f>N43-O43</f>
        <v/>
      </c>
      <c r="R43" s="2">
        <f>IF(Q43&lt;=0,0,TODAY()-H43)</f>
        <v/>
      </c>
      <c r="S43" s="2">
        <f>IF(Q43&lt;=0,"未到期",IF(S43&lt;=30,"1-30天",IF(S43&lt;=60,"31-60天",IF(S43&lt;=90,"61-90天",IF(S43&lt;=180,"91-180天","180天以上")))))</f>
        <v/>
      </c>
      <c r="T43" s="2">
        <f>IF(Q43&lt;=0,"未到期",IF(S43&gt;0,"逾期","已结清"))</f>
        <v/>
      </c>
    </row>
    <row r="44">
      <c r="A44" s="2" t="inlineStr">
        <is>
          <t>INV26100043</t>
        </is>
      </c>
      <c r="B44" s="2" t="inlineStr">
        <is>
          <t>C015</t>
        </is>
      </c>
      <c r="C44" s="2" t="inlineStr">
        <is>
          <t>HAN RIVER CO LTD</t>
        </is>
      </c>
      <c r="D44" s="2" t="inlineStr">
        <is>
          <t>韩国</t>
        </is>
      </c>
      <c r="E44" s="2" t="inlineStr">
        <is>
          <t>张大丽</t>
        </is>
      </c>
      <c r="F44" s="3" t="n">
        <v>46124</v>
      </c>
      <c r="G44" s="2" t="n">
        <v>30</v>
      </c>
      <c r="H44" s="3" t="n">
        <v>46154</v>
      </c>
      <c r="I44" s="2" t="inlineStr">
        <is>
          <t>USD</t>
        </is>
      </c>
      <c r="J44" s="4" t="n">
        <v>7.103284</v>
      </c>
      <c r="K44" s="5" t="n">
        <v>115034.79</v>
      </c>
      <c r="L44" s="6" t="n">
        <v>0.09</v>
      </c>
      <c r="M44" s="5" t="n">
        <v>0</v>
      </c>
      <c r="N44" s="5">
        <f>K44*J44</f>
        <v/>
      </c>
      <c r="O44" s="5">
        <f>M44*J44</f>
        <v/>
      </c>
      <c r="P44" s="5">
        <f>K44-M44</f>
        <v/>
      </c>
      <c r="Q44" s="5">
        <f>N44-O44</f>
        <v/>
      </c>
      <c r="R44" s="2">
        <f>IF(Q44&lt;=0,0,TODAY()-H44)</f>
        <v/>
      </c>
      <c r="S44" s="2">
        <f>IF(Q44&lt;=0,"未到期",IF(S44&lt;=30,"1-30天",IF(S44&lt;=60,"31-60天",IF(S44&lt;=90,"61-90天",IF(S44&lt;=180,"91-180天","180天以上")))))</f>
        <v/>
      </c>
      <c r="T44" s="2">
        <f>IF(Q44&lt;=0,"未到期",IF(S44&gt;0,"逾期","已结清"))</f>
        <v/>
      </c>
    </row>
    <row r="45">
      <c r="A45" s="2" t="inlineStr">
        <is>
          <t>INV26100044</t>
        </is>
      </c>
      <c r="B45" s="2" t="inlineStr">
        <is>
          <t>C018</t>
        </is>
      </c>
      <c r="C45" s="2" t="inlineStr">
        <is>
          <t>SANTOS TRADING LTDA</t>
        </is>
      </c>
      <c r="D45" s="2" t="inlineStr">
        <is>
          <t>巴西</t>
        </is>
      </c>
      <c r="E45" s="2" t="inlineStr">
        <is>
          <t>张大丽</t>
        </is>
      </c>
      <c r="F45" s="3" t="n">
        <v>46118</v>
      </c>
      <c r="G45" s="2" t="n">
        <v>120</v>
      </c>
      <c r="H45" s="3" t="n">
        <v>46238</v>
      </c>
      <c r="I45" s="2" t="inlineStr">
        <is>
          <t>USD</t>
        </is>
      </c>
      <c r="J45" s="4" t="n">
        <v>7.019446</v>
      </c>
      <c r="K45" s="5" t="n">
        <v>40093.4</v>
      </c>
      <c r="L45" s="6" t="n">
        <v>0</v>
      </c>
      <c r="M45" s="5" t="n">
        <v>24056.04</v>
      </c>
      <c r="N45" s="5">
        <f>K45*J45</f>
        <v/>
      </c>
      <c r="O45" s="5">
        <f>M45*J45</f>
        <v/>
      </c>
      <c r="P45" s="5">
        <f>K45-M45</f>
        <v/>
      </c>
      <c r="Q45" s="5">
        <f>N45-O45</f>
        <v/>
      </c>
      <c r="R45" s="2">
        <f>IF(Q45&lt;=0,0,TODAY()-H45)</f>
        <v/>
      </c>
      <c r="S45" s="2">
        <f>IF(Q45&lt;=0,"未到期",IF(S45&lt;=30,"1-30天",IF(S45&lt;=60,"31-60天",IF(S45&lt;=90,"61-90天",IF(S45&lt;=180,"91-180天","180天以上")))))</f>
        <v/>
      </c>
      <c r="T45" s="2">
        <f>IF(Q45&lt;=0,"未到期",IF(S45&gt;0,"逾期","已结清"))</f>
        <v/>
      </c>
    </row>
    <row r="46">
      <c r="A46" s="2" t="inlineStr">
        <is>
          <t>INV26100045</t>
        </is>
      </c>
      <c r="B46" s="2" t="inlineStr">
        <is>
          <t>C002</t>
        </is>
      </c>
      <c r="C46" s="2" t="inlineStr">
        <is>
          <t>NORDIC HOME AB</t>
        </is>
      </c>
      <c r="D46" s="2" t="inlineStr">
        <is>
          <t>瑞典</t>
        </is>
      </c>
      <c r="E46" s="2" t="inlineStr">
        <is>
          <t>周小杰</t>
        </is>
      </c>
      <c r="F46" s="3" t="n">
        <v>46079</v>
      </c>
      <c r="G46" s="2" t="n">
        <v>30</v>
      </c>
      <c r="H46" s="3" t="n">
        <v>46109</v>
      </c>
      <c r="I46" s="2" t="inlineStr">
        <is>
          <t>SEK</t>
        </is>
      </c>
      <c r="J46" s="4" t="n">
        <v>0.676824</v>
      </c>
      <c r="K46" s="5" t="n">
        <v>64018.93</v>
      </c>
      <c r="L46" s="6" t="n">
        <v>0.13</v>
      </c>
      <c r="M46" s="5" t="n">
        <v>0</v>
      </c>
      <c r="N46" s="5">
        <f>K46*J46</f>
        <v/>
      </c>
      <c r="O46" s="5">
        <f>M46*J46</f>
        <v/>
      </c>
      <c r="P46" s="5">
        <f>K46-M46</f>
        <v/>
      </c>
      <c r="Q46" s="5">
        <f>N46-O46</f>
        <v/>
      </c>
      <c r="R46" s="2">
        <f>IF(Q46&lt;=0,0,TODAY()-H46)</f>
        <v/>
      </c>
      <c r="S46" s="2">
        <f>IF(Q46&lt;=0,"未到期",IF(S46&lt;=30,"1-30天",IF(S46&lt;=60,"31-60天",IF(S46&lt;=90,"61-90天",IF(S46&lt;=180,"91-180天","180天以上")))))</f>
        <v/>
      </c>
      <c r="T46" s="2">
        <f>IF(Q46&lt;=0,"未到期",IF(S46&gt;0,"逾期","已结清"))</f>
        <v/>
      </c>
    </row>
    <row r="47">
      <c r="A47" s="2" t="inlineStr">
        <is>
          <t>INV26100046</t>
        </is>
      </c>
      <c r="B47" s="2" t="inlineStr">
        <is>
          <t>C017</t>
        </is>
      </c>
      <c r="C47" s="2" t="inlineStr">
        <is>
          <t>ANDES COMERCIAL SA</t>
        </is>
      </c>
      <c r="D47" s="2" t="inlineStr">
        <is>
          <t>智利</t>
        </is>
      </c>
      <c r="E47" s="2" t="inlineStr">
        <is>
          <t>周小杰</t>
        </is>
      </c>
      <c r="F47" s="3" t="n">
        <v>46139</v>
      </c>
      <c r="G47" s="2" t="n">
        <v>90</v>
      </c>
      <c r="H47" s="3" t="n">
        <v>46229</v>
      </c>
      <c r="I47" s="2" t="inlineStr">
        <is>
          <t>USD</t>
        </is>
      </c>
      <c r="J47" s="4" t="n">
        <v>7.115997</v>
      </c>
      <c r="K47" s="5" t="n">
        <v>37397.71</v>
      </c>
      <c r="L47" s="6" t="n">
        <v>0.13</v>
      </c>
      <c r="M47" s="5" t="n">
        <v>18698.85</v>
      </c>
      <c r="N47" s="5">
        <f>K47*J47</f>
        <v/>
      </c>
      <c r="O47" s="5">
        <f>M47*J47</f>
        <v/>
      </c>
      <c r="P47" s="5">
        <f>K47-M47</f>
        <v/>
      </c>
      <c r="Q47" s="5">
        <f>N47-O47</f>
        <v/>
      </c>
      <c r="R47" s="2">
        <f>IF(Q47&lt;=0,0,TODAY()-H47)</f>
        <v/>
      </c>
      <c r="S47" s="2">
        <f>IF(Q47&lt;=0,"未到期",IF(S47&lt;=30,"1-30天",IF(S47&lt;=60,"31-60天",IF(S47&lt;=90,"61-90天",IF(S47&lt;=180,"91-180天","180天以上")))))</f>
        <v/>
      </c>
      <c r="T47" s="2">
        <f>IF(Q47&lt;=0,"未到期",IF(S47&gt;0,"逾期","已结清"))</f>
        <v/>
      </c>
    </row>
    <row r="48">
      <c r="A48" s="2" t="inlineStr">
        <is>
          <t>INV26100047</t>
        </is>
      </c>
      <c r="B48" s="2" t="inlineStr">
        <is>
          <t>C007</t>
        </is>
      </c>
      <c r="C48" s="2" t="inlineStr">
        <is>
          <t>MAPLE LEAF IMPORTS INC</t>
        </is>
      </c>
      <c r="D48" s="2" t="inlineStr">
        <is>
          <t>加拿大</t>
        </is>
      </c>
      <c r="E48" s="2" t="inlineStr">
        <is>
          <t>周小杰</t>
        </is>
      </c>
      <c r="F48" s="3" t="n">
        <v>46267</v>
      </c>
      <c r="G48" s="2" t="n">
        <v>60</v>
      </c>
      <c r="H48" s="3" t="n">
        <v>46327</v>
      </c>
      <c r="I48" s="2" t="inlineStr">
        <is>
          <t>CAD</t>
        </is>
      </c>
      <c r="J48" s="4" t="n">
        <v>5.036987</v>
      </c>
      <c r="K48" s="5" t="n">
        <v>105446.41</v>
      </c>
      <c r="L48" s="6" t="n">
        <v>0.13</v>
      </c>
      <c r="M48" s="5" t="n">
        <v>0</v>
      </c>
      <c r="N48" s="5">
        <f>K48*J48</f>
        <v/>
      </c>
      <c r="O48" s="5">
        <f>M48*J48</f>
        <v/>
      </c>
      <c r="P48" s="5">
        <f>K48-M48</f>
        <v/>
      </c>
      <c r="Q48" s="5">
        <f>N48-O48</f>
        <v/>
      </c>
      <c r="R48" s="2">
        <f>IF(Q48&lt;=0,0,TODAY()-H48)</f>
        <v/>
      </c>
      <c r="S48" s="2">
        <f>IF(Q48&lt;=0,"未到期",IF(S48&lt;=30,"1-30天",IF(S48&lt;=60,"31-60天",IF(S48&lt;=90,"61-90天",IF(S48&lt;=180,"91-180天","180天以上")))))</f>
        <v/>
      </c>
      <c r="T48" s="2">
        <f>IF(Q48&lt;=0,"未到期",IF(S48&gt;0,"逾期","已结清"))</f>
        <v/>
      </c>
    </row>
    <row r="49">
      <c r="A49" s="2" t="inlineStr">
        <is>
          <t>INV26100048</t>
        </is>
      </c>
      <c r="B49" s="2" t="inlineStr">
        <is>
          <t>C015</t>
        </is>
      </c>
      <c r="C49" s="2" t="inlineStr">
        <is>
          <t>HAN RIVER CO LTD</t>
        </is>
      </c>
      <c r="D49" s="2" t="inlineStr">
        <is>
          <t>韩国</t>
        </is>
      </c>
      <c r="E49" s="2" t="inlineStr">
        <is>
          <t>张大丽</t>
        </is>
      </c>
      <c r="F49" s="3" t="n">
        <v>46292</v>
      </c>
      <c r="G49" s="2" t="n">
        <v>30</v>
      </c>
      <c r="H49" s="3" t="n">
        <v>46322</v>
      </c>
      <c r="I49" s="2" t="inlineStr">
        <is>
          <t>USD</t>
        </is>
      </c>
      <c r="J49" s="4" t="n">
        <v>6.921153</v>
      </c>
      <c r="K49" s="5" t="n">
        <v>21181.73</v>
      </c>
      <c r="L49" s="6" t="n">
        <v>0</v>
      </c>
      <c r="M49" s="5" t="n">
        <v>21181.73</v>
      </c>
      <c r="N49" s="5">
        <f>K49*J49</f>
        <v/>
      </c>
      <c r="O49" s="5">
        <f>M49*J49</f>
        <v/>
      </c>
      <c r="P49" s="5">
        <f>K49-M49</f>
        <v/>
      </c>
      <c r="Q49" s="5">
        <f>N49-O49</f>
        <v/>
      </c>
      <c r="R49" s="2">
        <f>IF(Q49&lt;=0,0,TODAY()-H49)</f>
        <v/>
      </c>
      <c r="S49" s="2">
        <f>IF(Q49&lt;=0,"未到期",IF(S49&lt;=30,"1-30天",IF(S49&lt;=60,"31-60天",IF(S49&lt;=90,"61-90天",IF(S49&lt;=180,"91-180天","180天以上")))))</f>
        <v/>
      </c>
      <c r="T49" s="2">
        <f>IF(Q49&lt;=0,"未到期",IF(S49&gt;0,"逾期","已结清"))</f>
        <v/>
      </c>
    </row>
    <row r="50">
      <c r="A50" s="2" t="inlineStr">
        <is>
          <t>INV26100049</t>
        </is>
      </c>
      <c r="B50" s="2" t="inlineStr">
        <is>
          <t>C020</t>
        </is>
      </c>
      <c r="C50" s="2" t="inlineStr">
        <is>
          <t>PRAHA TRADING SRO</t>
        </is>
      </c>
      <c r="D50" s="2" t="inlineStr">
        <is>
          <t>捷克</t>
        </is>
      </c>
      <c r="E50" s="2" t="inlineStr">
        <is>
          <t>周小杰</t>
        </is>
      </c>
      <c r="F50" s="3" t="n">
        <v>46112</v>
      </c>
      <c r="G50" s="2" t="n">
        <v>45</v>
      </c>
      <c r="H50" s="3" t="n">
        <v>46157</v>
      </c>
      <c r="I50" s="2" t="inlineStr">
        <is>
          <t>EUR</t>
        </is>
      </c>
      <c r="J50" s="4" t="n">
        <v>7.647057</v>
      </c>
      <c r="K50" s="5" t="n">
        <v>85055.89</v>
      </c>
      <c r="L50" s="6" t="n">
        <v>0</v>
      </c>
      <c r="M50" s="5" t="n">
        <v>42527.94</v>
      </c>
      <c r="N50" s="5">
        <f>K50*J50</f>
        <v/>
      </c>
      <c r="O50" s="5">
        <f>M50*J50</f>
        <v/>
      </c>
      <c r="P50" s="5">
        <f>K50-M50</f>
        <v/>
      </c>
      <c r="Q50" s="5">
        <f>N50-O50</f>
        <v/>
      </c>
      <c r="R50" s="2">
        <f>IF(Q50&lt;=0,0,TODAY()-H50)</f>
        <v/>
      </c>
      <c r="S50" s="2">
        <f>IF(Q50&lt;=0,"未到期",IF(S50&lt;=30,"1-30天",IF(S50&lt;=60,"31-60天",IF(S50&lt;=90,"61-90天",IF(S50&lt;=180,"91-180天","180天以上")))))</f>
        <v/>
      </c>
      <c r="T50" s="2">
        <f>IF(Q50&lt;=0,"未到期",IF(S50&gt;0,"逾期","已结清"))</f>
        <v/>
      </c>
    </row>
    <row r="51">
      <c r="A51" s="2" t="inlineStr">
        <is>
          <t>INV26100050</t>
        </is>
      </c>
      <c r="B51" s="2" t="inlineStr">
        <is>
          <t>C005</t>
        </is>
      </c>
      <c r="C51" s="2" t="inlineStr">
        <is>
          <t>IBERIA TEXTIL SL</t>
        </is>
      </c>
      <c r="D51" s="2" t="inlineStr">
        <is>
          <t>西班牙</t>
        </is>
      </c>
      <c r="E51" s="2" t="inlineStr">
        <is>
          <t>周小杰</t>
        </is>
      </c>
      <c r="F51" s="3" t="n">
        <v>46135</v>
      </c>
      <c r="G51" s="2" t="n">
        <v>45</v>
      </c>
      <c r="H51" s="3" t="n">
        <v>46180</v>
      </c>
      <c r="I51" s="2" t="inlineStr">
        <is>
          <t>EUR</t>
        </is>
      </c>
      <c r="J51" s="4" t="n">
        <v>7.640086</v>
      </c>
      <c r="K51" s="5" t="n">
        <v>18010.6</v>
      </c>
      <c r="L51" s="6" t="n">
        <v>0</v>
      </c>
      <c r="M51" s="5" t="n">
        <v>9005.299999999999</v>
      </c>
      <c r="N51" s="5">
        <f>K51*J51</f>
        <v/>
      </c>
      <c r="O51" s="5">
        <f>M51*J51</f>
        <v/>
      </c>
      <c r="P51" s="5">
        <f>K51-M51</f>
        <v/>
      </c>
      <c r="Q51" s="5">
        <f>N51-O51</f>
        <v/>
      </c>
      <c r="R51" s="2">
        <f>IF(Q51&lt;=0,0,TODAY()-H51)</f>
        <v/>
      </c>
      <c r="S51" s="2">
        <f>IF(Q51&lt;=0,"未到期",IF(S51&lt;=30,"1-30天",IF(S51&lt;=60,"31-60天",IF(S51&lt;=90,"61-90天",IF(S51&lt;=180,"91-180天","180天以上")))))</f>
        <v/>
      </c>
      <c r="T51" s="2">
        <f>IF(Q51&lt;=0,"未到期",IF(S51&gt;0,"逾期","已结清"))</f>
        <v/>
      </c>
    </row>
    <row r="52">
      <c r="A52" s="2" t="inlineStr">
        <is>
          <t>INV26100051</t>
        </is>
      </c>
      <c r="B52" s="2" t="inlineStr">
        <is>
          <t>C008</t>
        </is>
      </c>
      <c r="C52" s="2" t="inlineStr">
        <is>
          <t>PACIFIC RIM LLC</t>
        </is>
      </c>
      <c r="D52" s="2" t="inlineStr">
        <is>
          <t>美国</t>
        </is>
      </c>
      <c r="E52" s="2" t="inlineStr">
        <is>
          <t>张大丽</t>
        </is>
      </c>
      <c r="F52" s="3" t="n">
        <v>46153</v>
      </c>
      <c r="G52" s="2" t="n">
        <v>60</v>
      </c>
      <c r="H52" s="3" t="n">
        <v>46213</v>
      </c>
      <c r="I52" s="2" t="inlineStr">
        <is>
          <t>USD</t>
        </is>
      </c>
      <c r="J52" s="4" t="n">
        <v>7.051669</v>
      </c>
      <c r="K52" s="5" t="n">
        <v>109706.75</v>
      </c>
      <c r="L52" s="6" t="n">
        <v>0.13</v>
      </c>
      <c r="M52" s="5" t="n">
        <v>21941.35</v>
      </c>
      <c r="N52" s="5">
        <f>K52*J52</f>
        <v/>
      </c>
      <c r="O52" s="5">
        <f>M52*J52</f>
        <v/>
      </c>
      <c r="P52" s="5">
        <f>K52-M52</f>
        <v/>
      </c>
      <c r="Q52" s="5">
        <f>N52-O52</f>
        <v/>
      </c>
      <c r="R52" s="2">
        <f>IF(Q52&lt;=0,0,TODAY()-H52)</f>
        <v/>
      </c>
      <c r="S52" s="2">
        <f>IF(Q52&lt;=0,"未到期",IF(S52&lt;=30,"1-30天",IF(S52&lt;=60,"31-60天",IF(S52&lt;=90,"61-90天",IF(S52&lt;=180,"91-180天","180天以上")))))</f>
        <v/>
      </c>
      <c r="T52" s="2">
        <f>IF(Q52&lt;=0,"未到期",IF(S52&gt;0,"逾期","已结清"))</f>
        <v/>
      </c>
    </row>
    <row r="53">
      <c r="A53" s="2" t="inlineStr">
        <is>
          <t>INV26100052</t>
        </is>
      </c>
      <c r="B53" s="2" t="inlineStr">
        <is>
          <t>C014</t>
        </is>
      </c>
      <c r="C53" s="2" t="inlineStr">
        <is>
          <t>SAKURA IMPORTS KK</t>
        </is>
      </c>
      <c r="D53" s="2" t="inlineStr">
        <is>
          <t>日本</t>
        </is>
      </c>
      <c r="E53" s="2" t="inlineStr">
        <is>
          <t>张大丽</t>
        </is>
      </c>
      <c r="F53" s="3" t="n">
        <v>46270</v>
      </c>
      <c r="G53" s="2" t="n">
        <v>30</v>
      </c>
      <c r="H53" s="3" t="n">
        <v>46300</v>
      </c>
      <c r="I53" s="2" t="inlineStr">
        <is>
          <t>JPY</t>
        </is>
      </c>
      <c r="J53" s="4" t="n">
        <v>0.046383</v>
      </c>
      <c r="K53" s="5" t="n">
        <v>2240925</v>
      </c>
      <c r="L53" s="6" t="n">
        <v>0.09</v>
      </c>
      <c r="M53" s="5" t="n">
        <v>896370</v>
      </c>
      <c r="N53" s="5">
        <f>K53*J53</f>
        <v/>
      </c>
      <c r="O53" s="5">
        <f>M53*J53</f>
        <v/>
      </c>
      <c r="P53" s="5">
        <f>K53-M53</f>
        <v/>
      </c>
      <c r="Q53" s="5">
        <f>N53-O53</f>
        <v/>
      </c>
      <c r="R53" s="2">
        <f>IF(Q53&lt;=0,0,TODAY()-H53)</f>
        <v/>
      </c>
      <c r="S53" s="2">
        <f>IF(Q53&lt;=0,"未到期",IF(S53&lt;=30,"1-30天",IF(S53&lt;=60,"31-60天",IF(S53&lt;=90,"61-90天",IF(S53&lt;=180,"91-180天","180天以上")))))</f>
        <v/>
      </c>
      <c r="T53" s="2">
        <f>IF(Q53&lt;=0,"未到期",IF(S53&gt;0,"逾期","已结清"))</f>
        <v/>
      </c>
    </row>
    <row r="54">
      <c r="A54" s="2" t="inlineStr">
        <is>
          <t>INV26100053</t>
        </is>
      </c>
      <c r="B54" s="2" t="inlineStr">
        <is>
          <t>C019</t>
        </is>
      </c>
      <c r="C54" s="2" t="inlineStr">
        <is>
          <t>KIEV IMPORT GROUP</t>
        </is>
      </c>
      <c r="D54" s="2" t="inlineStr">
        <is>
          <t>乌克兰</t>
        </is>
      </c>
      <c r="E54" s="2" t="inlineStr">
        <is>
          <t>周小杰</t>
        </is>
      </c>
      <c r="F54" s="3" t="n">
        <v>46033</v>
      </c>
      <c r="G54" s="2" t="n">
        <v>120</v>
      </c>
      <c r="H54" s="3" t="n">
        <v>46153</v>
      </c>
      <c r="I54" s="2" t="inlineStr">
        <is>
          <t>USD</t>
        </is>
      </c>
      <c r="J54" s="4" t="n">
        <v>7.115546</v>
      </c>
      <c r="K54" s="5" t="n">
        <v>51809.74</v>
      </c>
      <c r="L54" s="6" t="n">
        <v>0.09</v>
      </c>
      <c r="M54" s="5" t="n">
        <v>0</v>
      </c>
      <c r="N54" s="5">
        <f>K54*J54</f>
        <v/>
      </c>
      <c r="O54" s="5">
        <f>M54*J54</f>
        <v/>
      </c>
      <c r="P54" s="5">
        <f>K54-M54</f>
        <v/>
      </c>
      <c r="Q54" s="5">
        <f>N54-O54</f>
        <v/>
      </c>
      <c r="R54" s="2">
        <f>IF(Q54&lt;=0,0,TODAY()-H54)</f>
        <v/>
      </c>
      <c r="S54" s="2">
        <f>IF(Q54&lt;=0,"未到期",IF(S54&lt;=30,"1-30天",IF(S54&lt;=60,"31-60天",IF(S54&lt;=90,"61-90天",IF(S54&lt;=180,"91-180天","180天以上")))))</f>
        <v/>
      </c>
      <c r="T54" s="2">
        <f>IF(Q54&lt;=0,"未到期",IF(S54&gt;0,"逾期","已结清"))</f>
        <v/>
      </c>
    </row>
    <row r="55">
      <c r="A55" s="2" t="inlineStr">
        <is>
          <t>INV26100054</t>
        </is>
      </c>
      <c r="B55" s="2" t="inlineStr">
        <is>
          <t>C006</t>
        </is>
      </c>
      <c r="C55" s="2" t="inlineStr">
        <is>
          <t>ATLANTIC GOODS LTD</t>
        </is>
      </c>
      <c r="D55" s="2" t="inlineStr">
        <is>
          <t>英国</t>
        </is>
      </c>
      <c r="E55" s="2" t="inlineStr">
        <is>
          <t>刘小源</t>
        </is>
      </c>
      <c r="F55" s="3" t="n">
        <v>46143</v>
      </c>
      <c r="G55" s="2" t="n">
        <v>30</v>
      </c>
      <c r="H55" s="3" t="n">
        <v>46173</v>
      </c>
      <c r="I55" s="2" t="inlineStr">
        <is>
          <t>GBP</t>
        </is>
      </c>
      <c r="J55" s="4" t="n">
        <v>9.129058000000001</v>
      </c>
      <c r="K55" s="5" t="n">
        <v>69313.53999999999</v>
      </c>
      <c r="L55" s="6" t="n">
        <v>0.13</v>
      </c>
      <c r="M55" s="5" t="n">
        <v>13862.71</v>
      </c>
      <c r="N55" s="5">
        <f>K55*J55</f>
        <v/>
      </c>
      <c r="O55" s="5">
        <f>M55*J55</f>
        <v/>
      </c>
      <c r="P55" s="5">
        <f>K55-M55</f>
        <v/>
      </c>
      <c r="Q55" s="5">
        <f>N55-O55</f>
        <v/>
      </c>
      <c r="R55" s="2">
        <f>IF(Q55&lt;=0,0,TODAY()-H55)</f>
        <v/>
      </c>
      <c r="S55" s="2">
        <f>IF(Q55&lt;=0,"未到期",IF(S55&lt;=30,"1-30天",IF(S55&lt;=60,"31-60天",IF(S55&lt;=90,"61-90天",IF(S55&lt;=180,"91-180天","180天以上")))))</f>
        <v/>
      </c>
      <c r="T55" s="2">
        <f>IF(Q55&lt;=0,"未到期",IF(S55&gt;0,"逾期","已结清"))</f>
        <v/>
      </c>
    </row>
    <row r="56">
      <c r="A56" s="2" t="inlineStr">
        <is>
          <t>INV26100055</t>
        </is>
      </c>
      <c r="B56" s="2" t="inlineStr">
        <is>
          <t>C020</t>
        </is>
      </c>
      <c r="C56" s="2" t="inlineStr">
        <is>
          <t>PRAHA TRADING SRO</t>
        </is>
      </c>
      <c r="D56" s="2" t="inlineStr">
        <is>
          <t>捷克</t>
        </is>
      </c>
      <c r="E56" s="2" t="inlineStr">
        <is>
          <t>张大丽</t>
        </is>
      </c>
      <c r="F56" s="3" t="n">
        <v>46078</v>
      </c>
      <c r="G56" s="2" t="n">
        <v>45</v>
      </c>
      <c r="H56" s="3" t="n">
        <v>46123</v>
      </c>
      <c r="I56" s="2" t="inlineStr">
        <is>
          <t>EUR</t>
        </is>
      </c>
      <c r="J56" s="4" t="n">
        <v>7.712161</v>
      </c>
      <c r="K56" s="5" t="n">
        <v>38481.64</v>
      </c>
      <c r="L56" s="6" t="n">
        <v>0.09</v>
      </c>
      <c r="M56" s="5" t="n">
        <v>0</v>
      </c>
      <c r="N56" s="5">
        <f>K56*J56</f>
        <v/>
      </c>
      <c r="O56" s="5">
        <f>M56*J56</f>
        <v/>
      </c>
      <c r="P56" s="5">
        <f>K56-M56</f>
        <v/>
      </c>
      <c r="Q56" s="5">
        <f>N56-O56</f>
        <v/>
      </c>
      <c r="R56" s="2">
        <f>IF(Q56&lt;=0,0,TODAY()-H56)</f>
        <v/>
      </c>
      <c r="S56" s="2">
        <f>IF(Q56&lt;=0,"未到期",IF(S56&lt;=30,"1-30天",IF(S56&lt;=60,"31-60天",IF(S56&lt;=90,"61-90天",IF(S56&lt;=180,"91-180天","180天以上")))))</f>
        <v/>
      </c>
      <c r="T56" s="2">
        <f>IF(Q56&lt;=0,"未到期",IF(S56&gt;0,"逾期","已结清"))</f>
        <v/>
      </c>
    </row>
    <row r="57">
      <c r="A57" s="2" t="inlineStr">
        <is>
          <t>INV26100056</t>
        </is>
      </c>
      <c r="B57" s="2" t="inlineStr">
        <is>
          <t>C007</t>
        </is>
      </c>
      <c r="C57" s="2" t="inlineStr">
        <is>
          <t>MAPLE LEAF IMPORTS INC</t>
        </is>
      </c>
      <c r="D57" s="2" t="inlineStr">
        <is>
          <t>加拿大</t>
        </is>
      </c>
      <c r="E57" s="2" t="inlineStr">
        <is>
          <t>周小杰</t>
        </is>
      </c>
      <c r="F57" s="3" t="n">
        <v>46248</v>
      </c>
      <c r="G57" s="2" t="n">
        <v>60</v>
      </c>
      <c r="H57" s="3" t="n">
        <v>46308</v>
      </c>
      <c r="I57" s="2" t="inlineStr">
        <is>
          <t>CAD</t>
        </is>
      </c>
      <c r="J57" s="4" t="n">
        <v>5.005839</v>
      </c>
      <c r="K57" s="5" t="n">
        <v>111906.49</v>
      </c>
      <c r="L57" s="6" t="n">
        <v>0.09</v>
      </c>
      <c r="M57" s="5" t="n">
        <v>78334.53999999999</v>
      </c>
      <c r="N57" s="5">
        <f>K57*J57</f>
        <v/>
      </c>
      <c r="O57" s="5">
        <f>M57*J57</f>
        <v/>
      </c>
      <c r="P57" s="5">
        <f>K57-M57</f>
        <v/>
      </c>
      <c r="Q57" s="5">
        <f>N57-O57</f>
        <v/>
      </c>
      <c r="R57" s="2">
        <f>IF(Q57&lt;=0,0,TODAY()-H57)</f>
        <v/>
      </c>
      <c r="S57" s="2">
        <f>IF(Q57&lt;=0,"未到期",IF(S57&lt;=30,"1-30天",IF(S57&lt;=60,"31-60天",IF(S57&lt;=90,"61-90天",IF(S57&lt;=180,"91-180天","180天以上")))))</f>
        <v/>
      </c>
      <c r="T57" s="2">
        <f>IF(Q57&lt;=0,"未到期",IF(S57&gt;0,"逾期","已结清"))</f>
        <v/>
      </c>
    </row>
    <row r="58">
      <c r="A58" s="2" t="inlineStr">
        <is>
          <t>INV26100057</t>
        </is>
      </c>
      <c r="B58" s="2" t="inlineStr">
        <is>
          <t>C013</t>
        </is>
      </c>
      <c r="C58" s="2" t="inlineStr">
        <is>
          <t>ORIENT BRIDGE PTE LTD</t>
        </is>
      </c>
      <c r="D58" s="2" t="inlineStr">
        <is>
          <t>新加坡</t>
        </is>
      </c>
      <c r="E58" s="2" t="inlineStr">
        <is>
          <t>周小杰</t>
        </is>
      </c>
      <c r="F58" s="3" t="n">
        <v>46097</v>
      </c>
      <c r="G58" s="2" t="n">
        <v>30</v>
      </c>
      <c r="H58" s="3" t="n">
        <v>46127</v>
      </c>
      <c r="I58" s="2" t="inlineStr">
        <is>
          <t>SGD</t>
        </is>
      </c>
      <c r="J58" s="4" t="n">
        <v>5.443031</v>
      </c>
      <c r="K58" s="5" t="n">
        <v>94981.99000000001</v>
      </c>
      <c r="L58" s="6" t="n">
        <v>0.13</v>
      </c>
      <c r="M58" s="5" t="n">
        <v>18996.4</v>
      </c>
      <c r="N58" s="5">
        <f>K58*J58</f>
        <v/>
      </c>
      <c r="O58" s="5">
        <f>M58*J58</f>
        <v/>
      </c>
      <c r="P58" s="5">
        <f>K58-M58</f>
        <v/>
      </c>
      <c r="Q58" s="5">
        <f>N58-O58</f>
        <v/>
      </c>
      <c r="R58" s="2">
        <f>IF(Q58&lt;=0,0,TODAY()-H58)</f>
        <v/>
      </c>
      <c r="S58" s="2">
        <f>IF(Q58&lt;=0,"未到期",IF(S58&lt;=30,"1-30天",IF(S58&lt;=60,"31-60天",IF(S58&lt;=90,"61-90天",IF(S58&lt;=180,"91-180天","180天以上")))))</f>
        <v/>
      </c>
      <c r="T58" s="2">
        <f>IF(Q58&lt;=0,"未到期",IF(S58&gt;0,"逾期","已结清"))</f>
        <v/>
      </c>
    </row>
    <row r="59">
      <c r="A59" s="2" t="inlineStr">
        <is>
          <t>INV26100058</t>
        </is>
      </c>
      <c r="B59" s="2" t="inlineStr">
        <is>
          <t>C004</t>
        </is>
      </c>
      <c r="C59" s="2" t="inlineStr">
        <is>
          <t>MEDITERRANEO SRL</t>
        </is>
      </c>
      <c r="D59" s="2" t="inlineStr">
        <is>
          <t>意大利</t>
        </is>
      </c>
      <c r="E59" s="2" t="inlineStr">
        <is>
          <t>张大丽</t>
        </is>
      </c>
      <c r="F59" s="3" t="n">
        <v>46182</v>
      </c>
      <c r="G59" s="2" t="n">
        <v>60</v>
      </c>
      <c r="H59" s="3" t="n">
        <v>46242</v>
      </c>
      <c r="I59" s="2" t="inlineStr">
        <is>
          <t>EUR</t>
        </is>
      </c>
      <c r="J59" s="4" t="n">
        <v>7.707251</v>
      </c>
      <c r="K59" s="5" t="n">
        <v>36494.8</v>
      </c>
      <c r="L59" s="6" t="n">
        <v>0.09</v>
      </c>
      <c r="M59" s="5" t="n">
        <v>0</v>
      </c>
      <c r="N59" s="5">
        <f>K59*J59</f>
        <v/>
      </c>
      <c r="O59" s="5">
        <f>M59*J59</f>
        <v/>
      </c>
      <c r="P59" s="5">
        <f>K59-M59</f>
        <v/>
      </c>
      <c r="Q59" s="5">
        <f>N59-O59</f>
        <v/>
      </c>
      <c r="R59" s="2">
        <f>IF(Q59&lt;=0,0,TODAY()-H59)</f>
        <v/>
      </c>
      <c r="S59" s="2">
        <f>IF(Q59&lt;=0,"未到期",IF(S59&lt;=30,"1-30天",IF(S59&lt;=60,"31-60天",IF(S59&lt;=90,"61-90天",IF(S59&lt;=180,"91-180天","180天以上")))))</f>
        <v/>
      </c>
      <c r="T59" s="2">
        <f>IF(Q59&lt;=0,"未到期",IF(S59&gt;0,"逾期","已结清"))</f>
        <v/>
      </c>
    </row>
    <row r="60">
      <c r="A60" s="2" t="inlineStr">
        <is>
          <t>INV26100059</t>
        </is>
      </c>
      <c r="B60" s="2" t="inlineStr">
        <is>
          <t>C017</t>
        </is>
      </c>
      <c r="C60" s="2" t="inlineStr">
        <is>
          <t>ANDES COMERCIAL SA</t>
        </is>
      </c>
      <c r="D60" s="2" t="inlineStr">
        <is>
          <t>智利</t>
        </is>
      </c>
      <c r="E60" s="2" t="inlineStr">
        <is>
          <t>刘小源</t>
        </is>
      </c>
      <c r="F60" s="3" t="n">
        <v>46213</v>
      </c>
      <c r="G60" s="2" t="n">
        <v>90</v>
      </c>
      <c r="H60" s="3" t="n">
        <v>46303</v>
      </c>
      <c r="I60" s="2" t="inlineStr">
        <is>
          <t>USD</t>
        </is>
      </c>
      <c r="J60" s="4" t="n">
        <v>7.062547</v>
      </c>
      <c r="K60" s="5" t="n">
        <v>81988.53999999999</v>
      </c>
      <c r="L60" s="6" t="n">
        <v>0</v>
      </c>
      <c r="M60" s="5" t="n">
        <v>57391.98</v>
      </c>
      <c r="N60" s="5">
        <f>K60*J60</f>
        <v/>
      </c>
      <c r="O60" s="5">
        <f>M60*J60</f>
        <v/>
      </c>
      <c r="P60" s="5">
        <f>K60-M60</f>
        <v/>
      </c>
      <c r="Q60" s="5">
        <f>N60-O60</f>
        <v/>
      </c>
      <c r="R60" s="2">
        <f>IF(Q60&lt;=0,0,TODAY()-H60)</f>
        <v/>
      </c>
      <c r="S60" s="2">
        <f>IF(Q60&lt;=0,"未到期",IF(S60&lt;=30,"1-30天",IF(S60&lt;=60,"31-60天",IF(S60&lt;=90,"61-90天",IF(S60&lt;=180,"91-180天","180天以上")))))</f>
        <v/>
      </c>
      <c r="T60" s="2">
        <f>IF(Q60&lt;=0,"未到期",IF(S60&gt;0,"逾期","已结清"))</f>
        <v/>
      </c>
    </row>
    <row r="61">
      <c r="A61" s="2" t="inlineStr">
        <is>
          <t>INV26100060</t>
        </is>
      </c>
      <c r="B61" s="2" t="inlineStr">
        <is>
          <t>C013</t>
        </is>
      </c>
      <c r="C61" s="2" t="inlineStr">
        <is>
          <t>ORIENT BRIDGE PTE LTD</t>
        </is>
      </c>
      <c r="D61" s="2" t="inlineStr">
        <is>
          <t>新加坡</t>
        </is>
      </c>
      <c r="E61" s="2" t="inlineStr">
        <is>
          <t>刘小源</t>
        </is>
      </c>
      <c r="F61" s="3" t="n">
        <v>46259</v>
      </c>
      <c r="G61" s="2" t="n">
        <v>30</v>
      </c>
      <c r="H61" s="3" t="n">
        <v>46289</v>
      </c>
      <c r="I61" s="2" t="inlineStr">
        <is>
          <t>SGD</t>
        </is>
      </c>
      <c r="J61" s="4" t="n">
        <v>5.373221</v>
      </c>
      <c r="K61" s="5" t="n">
        <v>76082.13</v>
      </c>
      <c r="L61" s="6" t="n">
        <v>0</v>
      </c>
      <c r="M61" s="5" t="n">
        <v>45649.28</v>
      </c>
      <c r="N61" s="5">
        <f>K61*J61</f>
        <v/>
      </c>
      <c r="O61" s="5">
        <f>M61*J61</f>
        <v/>
      </c>
      <c r="P61" s="5">
        <f>K61-M61</f>
        <v/>
      </c>
      <c r="Q61" s="5">
        <f>N61-O61</f>
        <v/>
      </c>
      <c r="R61" s="2">
        <f>IF(Q61&lt;=0,0,TODAY()-H61)</f>
        <v/>
      </c>
      <c r="S61" s="2">
        <f>IF(Q61&lt;=0,"未到期",IF(S61&lt;=30,"1-30天",IF(S61&lt;=60,"31-60天",IF(S61&lt;=90,"61-90天",IF(S61&lt;=180,"91-180天","180天以上")))))</f>
        <v/>
      </c>
      <c r="T61" s="2">
        <f>IF(Q61&lt;=0,"未到期",IF(S61&gt;0,"逾期","已结清"))</f>
        <v/>
      </c>
    </row>
    <row r="62">
      <c r="A62" s="2" t="inlineStr">
        <is>
          <t>INV26100061</t>
        </is>
      </c>
      <c r="B62" s="2" t="inlineStr">
        <is>
          <t>C014</t>
        </is>
      </c>
      <c r="C62" s="2" t="inlineStr">
        <is>
          <t>SAKURA IMPORTS KK</t>
        </is>
      </c>
      <c r="D62" s="2" t="inlineStr">
        <is>
          <t>日本</t>
        </is>
      </c>
      <c r="E62" s="2" t="inlineStr">
        <is>
          <t>张大丽</t>
        </is>
      </c>
      <c r="F62" s="3" t="n">
        <v>46137</v>
      </c>
      <c r="G62" s="2" t="n">
        <v>30</v>
      </c>
      <c r="H62" s="3" t="n">
        <v>46167</v>
      </c>
      <c r="I62" s="2" t="inlineStr">
        <is>
          <t>JPY</t>
        </is>
      </c>
      <c r="J62" s="4" t="n">
        <v>0.046805</v>
      </c>
      <c r="K62" s="5" t="n">
        <v>7294721</v>
      </c>
      <c r="L62" s="6" t="n">
        <v>0.13</v>
      </c>
      <c r="M62" s="5" t="n">
        <v>0</v>
      </c>
      <c r="N62" s="5">
        <f>K62*J62</f>
        <v/>
      </c>
      <c r="O62" s="5">
        <f>M62*J62</f>
        <v/>
      </c>
      <c r="P62" s="5">
        <f>K62-M62</f>
        <v/>
      </c>
      <c r="Q62" s="5">
        <f>N62-O62</f>
        <v/>
      </c>
      <c r="R62" s="2">
        <f>IF(Q62&lt;=0,0,TODAY()-H62)</f>
        <v/>
      </c>
      <c r="S62" s="2">
        <f>IF(Q62&lt;=0,"未到期",IF(S62&lt;=30,"1-30天",IF(S62&lt;=60,"31-60天",IF(S62&lt;=90,"61-90天",IF(S62&lt;=180,"91-180天","180天以上")))))</f>
        <v/>
      </c>
      <c r="T62" s="2">
        <f>IF(Q62&lt;=0,"未到期",IF(S62&gt;0,"逾期","已结清"))</f>
        <v/>
      </c>
    </row>
    <row r="63">
      <c r="A63" s="2" t="inlineStr">
        <is>
          <t>INV26100062</t>
        </is>
      </c>
      <c r="B63" s="2" t="inlineStr">
        <is>
          <t>C011</t>
        </is>
      </c>
      <c r="C63" s="2" t="inlineStr">
        <is>
          <t>NILE TRADING CO</t>
        </is>
      </c>
      <c r="D63" s="2" t="inlineStr">
        <is>
          <t>埃及</t>
        </is>
      </c>
      <c r="E63" s="2" t="inlineStr">
        <is>
          <t>周小杰</t>
        </is>
      </c>
      <c r="F63" s="3" t="n">
        <v>46270</v>
      </c>
      <c r="G63" s="2" t="n">
        <v>90</v>
      </c>
      <c r="H63" s="3" t="n">
        <v>46360</v>
      </c>
      <c r="I63" s="2" t="inlineStr">
        <is>
          <t>USD</t>
        </is>
      </c>
      <c r="J63" s="4" t="n">
        <v>6.941401</v>
      </c>
      <c r="K63" s="5" t="n">
        <v>27317.59</v>
      </c>
      <c r="L63" s="6" t="n">
        <v>0.09</v>
      </c>
      <c r="M63" s="5" t="n">
        <v>27317.59</v>
      </c>
      <c r="N63" s="5">
        <f>K63*J63</f>
        <v/>
      </c>
      <c r="O63" s="5">
        <f>M63*J63</f>
        <v/>
      </c>
      <c r="P63" s="5">
        <f>K63-M63</f>
        <v/>
      </c>
      <c r="Q63" s="5">
        <f>N63-O63</f>
        <v/>
      </c>
      <c r="R63" s="2">
        <f>IF(Q63&lt;=0,0,TODAY()-H63)</f>
        <v/>
      </c>
      <c r="S63" s="2">
        <f>IF(Q63&lt;=0,"未到期",IF(S63&lt;=30,"1-30天",IF(S63&lt;=60,"31-60天",IF(S63&lt;=90,"61-90天",IF(S63&lt;=180,"91-180天","180天以上")))))</f>
        <v/>
      </c>
      <c r="T63" s="2">
        <f>IF(Q63&lt;=0,"未到期",IF(S63&gt;0,"逾期","已结清"))</f>
        <v/>
      </c>
    </row>
    <row r="64">
      <c r="A64" s="2" t="inlineStr">
        <is>
          <t>INV26100063</t>
        </is>
      </c>
      <c r="B64" s="2" t="inlineStr">
        <is>
          <t>C001</t>
        </is>
      </c>
      <c r="C64" s="2" t="inlineStr">
        <is>
          <t>HANSA TRADING GmbH</t>
        </is>
      </c>
      <c r="D64" s="2" t="inlineStr">
        <is>
          <t>德国</t>
        </is>
      </c>
      <c r="E64" s="2" t="inlineStr">
        <is>
          <t>张大丽</t>
        </is>
      </c>
      <c r="F64" s="3" t="n">
        <v>46059</v>
      </c>
      <c r="G64" s="2" t="n">
        <v>30</v>
      </c>
      <c r="H64" s="3" t="n">
        <v>46089</v>
      </c>
      <c r="I64" s="2" t="inlineStr">
        <is>
          <t>EUR</t>
        </is>
      </c>
      <c r="J64" s="4" t="n">
        <v>7.795971</v>
      </c>
      <c r="K64" s="5" t="n">
        <v>71390.2</v>
      </c>
      <c r="L64" s="6" t="n">
        <v>0.09</v>
      </c>
      <c r="M64" s="5" t="n">
        <v>0</v>
      </c>
      <c r="N64" s="5">
        <f>K64*J64</f>
        <v/>
      </c>
      <c r="O64" s="5">
        <f>M64*J64</f>
        <v/>
      </c>
      <c r="P64" s="5">
        <f>K64-M64</f>
        <v/>
      </c>
      <c r="Q64" s="5">
        <f>N64-O64</f>
        <v/>
      </c>
      <c r="R64" s="2">
        <f>IF(Q64&lt;=0,0,TODAY()-H64)</f>
        <v/>
      </c>
      <c r="S64" s="2">
        <f>IF(Q64&lt;=0,"未到期",IF(S64&lt;=30,"1-30天",IF(S64&lt;=60,"31-60天",IF(S64&lt;=90,"61-90天",IF(S64&lt;=180,"91-180天","180天以上")))))</f>
        <v/>
      </c>
      <c r="T64" s="2">
        <f>IF(Q64&lt;=0,"未到期",IF(S64&gt;0,"逾期","已结清"))</f>
        <v/>
      </c>
    </row>
    <row r="65">
      <c r="A65" s="2" t="inlineStr">
        <is>
          <t>INV26100064</t>
        </is>
      </c>
      <c r="B65" s="2" t="inlineStr">
        <is>
          <t>C020</t>
        </is>
      </c>
      <c r="C65" s="2" t="inlineStr">
        <is>
          <t>PRAHA TRADING SRO</t>
        </is>
      </c>
      <c r="D65" s="2" t="inlineStr">
        <is>
          <t>捷克</t>
        </is>
      </c>
      <c r="E65" s="2" t="inlineStr">
        <is>
          <t>张大丽</t>
        </is>
      </c>
      <c r="F65" s="3" t="n">
        <v>46216</v>
      </c>
      <c r="G65" s="2" t="n">
        <v>45</v>
      </c>
      <c r="H65" s="3" t="n">
        <v>46261</v>
      </c>
      <c r="I65" s="2" t="inlineStr">
        <is>
          <t>EUR</t>
        </is>
      </c>
      <c r="J65" s="4" t="n">
        <v>7.576412</v>
      </c>
      <c r="K65" s="5" t="n">
        <v>49676.56</v>
      </c>
      <c r="L65" s="6" t="n">
        <v>0.09</v>
      </c>
      <c r="M65" s="5" t="n">
        <v>14902.97</v>
      </c>
      <c r="N65" s="5">
        <f>K65*J65</f>
        <v/>
      </c>
      <c r="O65" s="5">
        <f>M65*J65</f>
        <v/>
      </c>
      <c r="P65" s="5">
        <f>K65-M65</f>
        <v/>
      </c>
      <c r="Q65" s="5">
        <f>N65-O65</f>
        <v/>
      </c>
      <c r="R65" s="2">
        <f>IF(Q65&lt;=0,0,TODAY()-H65)</f>
        <v/>
      </c>
      <c r="S65" s="2">
        <f>IF(Q65&lt;=0,"未到期",IF(S65&lt;=30,"1-30天",IF(S65&lt;=60,"31-60天",IF(S65&lt;=90,"61-90天",IF(S65&lt;=180,"91-180天","180天以上")))))</f>
        <v/>
      </c>
      <c r="T65" s="2">
        <f>IF(Q65&lt;=0,"未到期",IF(S65&gt;0,"逾期","已结清"))</f>
        <v/>
      </c>
    </row>
    <row r="66">
      <c r="A66" s="2" t="inlineStr">
        <is>
          <t>INV26100065</t>
        </is>
      </c>
      <c r="B66" s="2" t="inlineStr">
        <is>
          <t>C008</t>
        </is>
      </c>
      <c r="C66" s="2" t="inlineStr">
        <is>
          <t>PACIFIC RIM LLC</t>
        </is>
      </c>
      <c r="D66" s="2" t="inlineStr">
        <is>
          <t>美国</t>
        </is>
      </c>
      <c r="E66" s="2" t="inlineStr">
        <is>
          <t>张大丽</t>
        </is>
      </c>
      <c r="F66" s="3" t="n">
        <v>46085</v>
      </c>
      <c r="G66" s="2" t="n">
        <v>60</v>
      </c>
      <c r="H66" s="3" t="n">
        <v>46145</v>
      </c>
      <c r="I66" s="2" t="inlineStr">
        <is>
          <t>USD</t>
        </is>
      </c>
      <c r="J66" s="4" t="n">
        <v>7.152676</v>
      </c>
      <c r="K66" s="5" t="n">
        <v>82038.45</v>
      </c>
      <c r="L66" s="6" t="n">
        <v>0</v>
      </c>
      <c r="M66" s="5" t="n">
        <v>0</v>
      </c>
      <c r="N66" s="5">
        <f>K66*J66</f>
        <v/>
      </c>
      <c r="O66" s="5">
        <f>M66*J66</f>
        <v/>
      </c>
      <c r="P66" s="5">
        <f>K66-M66</f>
        <v/>
      </c>
      <c r="Q66" s="5">
        <f>N66-O66</f>
        <v/>
      </c>
      <c r="R66" s="2">
        <f>IF(Q66&lt;=0,0,TODAY()-H66)</f>
        <v/>
      </c>
      <c r="S66" s="2">
        <f>IF(Q66&lt;=0,"未到期",IF(S66&lt;=30,"1-30天",IF(S66&lt;=60,"31-60天",IF(S66&lt;=90,"61-90天",IF(S66&lt;=180,"91-180天","180天以上")))))</f>
        <v/>
      </c>
      <c r="T66" s="2">
        <f>IF(Q66&lt;=0,"未到期",IF(S66&gt;0,"逾期","已结清"))</f>
        <v/>
      </c>
    </row>
    <row r="67">
      <c r="A67" s="2" t="inlineStr">
        <is>
          <t>INV26100066</t>
        </is>
      </c>
      <c r="B67" s="2" t="inlineStr">
        <is>
          <t>C005</t>
        </is>
      </c>
      <c r="C67" s="2" t="inlineStr">
        <is>
          <t>IBERIA TEXTIL SL</t>
        </is>
      </c>
      <c r="D67" s="2" t="inlineStr">
        <is>
          <t>西班牙</t>
        </is>
      </c>
      <c r="E67" s="2" t="inlineStr">
        <is>
          <t>周小杰</t>
        </is>
      </c>
      <c r="F67" s="3" t="n">
        <v>46123</v>
      </c>
      <c r="G67" s="2" t="n">
        <v>45</v>
      </c>
      <c r="H67" s="3" t="n">
        <v>46168</v>
      </c>
      <c r="I67" s="2" t="inlineStr">
        <is>
          <t>EUR</t>
        </is>
      </c>
      <c r="J67" s="4" t="n">
        <v>7.770695</v>
      </c>
      <c r="K67" s="5" t="n">
        <v>104970.18</v>
      </c>
      <c r="L67" s="6" t="n">
        <v>0.13</v>
      </c>
      <c r="M67" s="5" t="n">
        <v>0</v>
      </c>
      <c r="N67" s="5">
        <f>K67*J67</f>
        <v/>
      </c>
      <c r="O67" s="5">
        <f>M67*J67</f>
        <v/>
      </c>
      <c r="P67" s="5">
        <f>K67-M67</f>
        <v/>
      </c>
      <c r="Q67" s="5">
        <f>N67-O67</f>
        <v/>
      </c>
      <c r="R67" s="2">
        <f>IF(Q67&lt;=0,0,TODAY()-H67)</f>
        <v/>
      </c>
      <c r="S67" s="2">
        <f>IF(Q67&lt;=0,"未到期",IF(S67&lt;=30,"1-30天",IF(S67&lt;=60,"31-60天",IF(S67&lt;=90,"61-90天",IF(S67&lt;=180,"91-180天","180天以上")))))</f>
        <v/>
      </c>
      <c r="T67" s="2">
        <f>IF(Q67&lt;=0,"未到期",IF(S67&gt;0,"逾期","已结清"))</f>
        <v/>
      </c>
    </row>
    <row r="68">
      <c r="A68" s="2" t="inlineStr">
        <is>
          <t>INV26100067</t>
        </is>
      </c>
      <c r="B68" s="2" t="inlineStr">
        <is>
          <t>C004</t>
        </is>
      </c>
      <c r="C68" s="2" t="inlineStr">
        <is>
          <t>MEDITERRANEO SRL</t>
        </is>
      </c>
      <c r="D68" s="2" t="inlineStr">
        <is>
          <t>意大利</t>
        </is>
      </c>
      <c r="E68" s="2" t="inlineStr">
        <is>
          <t>周小杰</t>
        </is>
      </c>
      <c r="F68" s="3" t="n">
        <v>46102</v>
      </c>
      <c r="G68" s="2" t="n">
        <v>60</v>
      </c>
      <c r="H68" s="3" t="n">
        <v>46162</v>
      </c>
      <c r="I68" s="2" t="inlineStr">
        <is>
          <t>EUR</t>
        </is>
      </c>
      <c r="J68" s="4" t="n">
        <v>7.639536</v>
      </c>
      <c r="K68" s="5" t="n">
        <v>12304.21</v>
      </c>
      <c r="L68" s="6" t="n">
        <v>0.13</v>
      </c>
      <c r="M68" s="5" t="n">
        <v>2460.84</v>
      </c>
      <c r="N68" s="5">
        <f>K68*J68</f>
        <v/>
      </c>
      <c r="O68" s="5">
        <f>M68*J68</f>
        <v/>
      </c>
      <c r="P68" s="5">
        <f>K68-M68</f>
        <v/>
      </c>
      <c r="Q68" s="5">
        <f>N68-O68</f>
        <v/>
      </c>
      <c r="R68" s="2">
        <f>IF(Q68&lt;=0,0,TODAY()-H68)</f>
        <v/>
      </c>
      <c r="S68" s="2">
        <f>IF(Q68&lt;=0,"未到期",IF(S68&lt;=30,"1-30天",IF(S68&lt;=60,"31-60天",IF(S68&lt;=90,"61-90天",IF(S68&lt;=180,"91-180天","180天以上")))))</f>
        <v/>
      </c>
      <c r="T68" s="2">
        <f>IF(Q68&lt;=0,"未到期",IF(S68&gt;0,"逾期","已结清"))</f>
        <v/>
      </c>
    </row>
    <row r="69">
      <c r="A69" s="2" t="inlineStr">
        <is>
          <t>INV26100068</t>
        </is>
      </c>
      <c r="B69" s="2" t="inlineStr">
        <is>
          <t>C013</t>
        </is>
      </c>
      <c r="C69" s="2" t="inlineStr">
        <is>
          <t>ORIENT BRIDGE PTE LTD</t>
        </is>
      </c>
      <c r="D69" s="2" t="inlineStr">
        <is>
          <t>新加坡</t>
        </is>
      </c>
      <c r="E69" s="2" t="inlineStr">
        <is>
          <t>刘小源</t>
        </is>
      </c>
      <c r="F69" s="3" t="n">
        <v>46202</v>
      </c>
      <c r="G69" s="2" t="n">
        <v>30</v>
      </c>
      <c r="H69" s="3" t="n">
        <v>46232</v>
      </c>
      <c r="I69" s="2" t="inlineStr">
        <is>
          <t>SGD</t>
        </is>
      </c>
      <c r="J69" s="4" t="n">
        <v>5.383103</v>
      </c>
      <c r="K69" s="5" t="n">
        <v>96861.23</v>
      </c>
      <c r="L69" s="6" t="n">
        <v>0.09</v>
      </c>
      <c r="M69" s="5" t="n">
        <v>0</v>
      </c>
      <c r="N69" s="5">
        <f>K69*J69</f>
        <v/>
      </c>
      <c r="O69" s="5">
        <f>M69*J69</f>
        <v/>
      </c>
      <c r="P69" s="5">
        <f>K69-M69</f>
        <v/>
      </c>
      <c r="Q69" s="5">
        <f>N69-O69</f>
        <v/>
      </c>
      <c r="R69" s="2">
        <f>IF(Q69&lt;=0,0,TODAY()-H69)</f>
        <v/>
      </c>
      <c r="S69" s="2">
        <f>IF(Q69&lt;=0,"未到期",IF(S69&lt;=30,"1-30天",IF(S69&lt;=60,"31-60天",IF(S69&lt;=90,"61-90天",IF(S69&lt;=180,"91-180天","180天以上")))))</f>
        <v/>
      </c>
      <c r="T69" s="2">
        <f>IF(Q69&lt;=0,"未到期",IF(S69&gt;0,"逾期","已结清"))</f>
        <v/>
      </c>
    </row>
    <row r="70">
      <c r="A70" s="2" t="inlineStr">
        <is>
          <t>INV26100069</t>
        </is>
      </c>
      <c r="B70" s="2" t="inlineStr">
        <is>
          <t>C005</t>
        </is>
      </c>
      <c r="C70" s="2" t="inlineStr">
        <is>
          <t>IBERIA TEXTIL SL</t>
        </is>
      </c>
      <c r="D70" s="2" t="inlineStr">
        <is>
          <t>西班牙</t>
        </is>
      </c>
      <c r="E70" s="2" t="inlineStr">
        <is>
          <t>张大丽</t>
        </is>
      </c>
      <c r="F70" s="3" t="n">
        <v>46105</v>
      </c>
      <c r="G70" s="2" t="n">
        <v>45</v>
      </c>
      <c r="H70" s="3" t="n">
        <v>46150</v>
      </c>
      <c r="I70" s="2" t="inlineStr">
        <is>
          <t>EUR</t>
        </is>
      </c>
      <c r="J70" s="4" t="n">
        <v>7.67144</v>
      </c>
      <c r="K70" s="5" t="n">
        <v>63190.2</v>
      </c>
      <c r="L70" s="6" t="n">
        <v>0</v>
      </c>
      <c r="M70" s="5" t="n">
        <v>12638.04</v>
      </c>
      <c r="N70" s="5">
        <f>K70*J70</f>
        <v/>
      </c>
      <c r="O70" s="5">
        <f>M70*J70</f>
        <v/>
      </c>
      <c r="P70" s="5">
        <f>K70-M70</f>
        <v/>
      </c>
      <c r="Q70" s="5">
        <f>N70-O70</f>
        <v/>
      </c>
      <c r="R70" s="2">
        <f>IF(Q70&lt;=0,0,TODAY()-H70)</f>
        <v/>
      </c>
      <c r="S70" s="2">
        <f>IF(Q70&lt;=0,"未到期",IF(S70&lt;=30,"1-30天",IF(S70&lt;=60,"31-60天",IF(S70&lt;=90,"61-90天",IF(S70&lt;=180,"91-180天","180天以上")))))</f>
        <v/>
      </c>
      <c r="T70" s="2">
        <f>IF(Q70&lt;=0,"未到期",IF(S70&gt;0,"逾期","已结清"))</f>
        <v/>
      </c>
    </row>
    <row r="71">
      <c r="A71" s="2" t="inlineStr">
        <is>
          <t>INV26100070</t>
        </is>
      </c>
      <c r="B71" s="2" t="inlineStr">
        <is>
          <t>C005</t>
        </is>
      </c>
      <c r="C71" s="2" t="inlineStr">
        <is>
          <t>IBERIA TEXTIL SL</t>
        </is>
      </c>
      <c r="D71" s="2" t="inlineStr">
        <is>
          <t>西班牙</t>
        </is>
      </c>
      <c r="E71" s="2" t="inlineStr">
        <is>
          <t>周小杰</t>
        </is>
      </c>
      <c r="F71" s="3" t="n">
        <v>46131</v>
      </c>
      <c r="G71" s="2" t="n">
        <v>45</v>
      </c>
      <c r="H71" s="3" t="n">
        <v>46176</v>
      </c>
      <c r="I71" s="2" t="inlineStr">
        <is>
          <t>EUR</t>
        </is>
      </c>
      <c r="J71" s="4" t="n">
        <v>7.768285</v>
      </c>
      <c r="K71" s="5" t="n">
        <v>69207.53</v>
      </c>
      <c r="L71" s="6" t="n">
        <v>0.13</v>
      </c>
      <c r="M71" s="5" t="n">
        <v>0</v>
      </c>
      <c r="N71" s="5">
        <f>K71*J71</f>
        <v/>
      </c>
      <c r="O71" s="5">
        <f>M71*J71</f>
        <v/>
      </c>
      <c r="P71" s="5">
        <f>K71-M71</f>
        <v/>
      </c>
      <c r="Q71" s="5">
        <f>N71-O71</f>
        <v/>
      </c>
      <c r="R71" s="2">
        <f>IF(Q71&lt;=0,0,TODAY()-H71)</f>
        <v/>
      </c>
      <c r="S71" s="2">
        <f>IF(Q71&lt;=0,"未到期",IF(S71&lt;=30,"1-30天",IF(S71&lt;=60,"31-60天",IF(S71&lt;=90,"61-90天",IF(S71&lt;=180,"91-180天","180天以上")))))</f>
        <v/>
      </c>
      <c r="T71" s="2">
        <f>IF(Q71&lt;=0,"未到期",IF(S71&gt;0,"逾期","已结清"))</f>
        <v/>
      </c>
    </row>
    <row r="72">
      <c r="A72" s="2" t="inlineStr">
        <is>
          <t>INV26100071</t>
        </is>
      </c>
      <c r="B72" s="2" t="inlineStr">
        <is>
          <t>C020</t>
        </is>
      </c>
      <c r="C72" s="2" t="inlineStr">
        <is>
          <t>PRAHA TRADING SRO</t>
        </is>
      </c>
      <c r="D72" s="2" t="inlineStr">
        <is>
          <t>捷克</t>
        </is>
      </c>
      <c r="E72" s="2" t="inlineStr">
        <is>
          <t>张大丽</t>
        </is>
      </c>
      <c r="F72" s="3" t="n">
        <v>46163</v>
      </c>
      <c r="G72" s="2" t="n">
        <v>45</v>
      </c>
      <c r="H72" s="3" t="n">
        <v>46208</v>
      </c>
      <c r="I72" s="2" t="inlineStr">
        <is>
          <t>EUR</t>
        </is>
      </c>
      <c r="J72" s="4" t="n">
        <v>7.767493</v>
      </c>
      <c r="K72" s="5" t="n">
        <v>9665.709999999999</v>
      </c>
      <c r="L72" s="6" t="n">
        <v>0.09</v>
      </c>
      <c r="M72" s="5" t="n">
        <v>1933.14</v>
      </c>
      <c r="N72" s="5">
        <f>K72*J72</f>
        <v/>
      </c>
      <c r="O72" s="5">
        <f>M72*J72</f>
        <v/>
      </c>
      <c r="P72" s="5">
        <f>K72-M72</f>
        <v/>
      </c>
      <c r="Q72" s="5">
        <f>N72-O72</f>
        <v/>
      </c>
      <c r="R72" s="2">
        <f>IF(Q72&lt;=0,0,TODAY()-H72)</f>
        <v/>
      </c>
      <c r="S72" s="2">
        <f>IF(Q72&lt;=0,"未到期",IF(S72&lt;=30,"1-30天",IF(S72&lt;=60,"31-60天",IF(S72&lt;=90,"61-90天",IF(S72&lt;=180,"91-180天","180天以上")))))</f>
        <v/>
      </c>
      <c r="T72" s="2">
        <f>IF(Q72&lt;=0,"未到期",IF(S72&gt;0,"逾期","已结清"))</f>
        <v/>
      </c>
    </row>
    <row r="73">
      <c r="A73" s="2" t="inlineStr">
        <is>
          <t>INV26100072</t>
        </is>
      </c>
      <c r="B73" s="2" t="inlineStr">
        <is>
          <t>C005</t>
        </is>
      </c>
      <c r="C73" s="2" t="inlineStr">
        <is>
          <t>IBERIA TEXTIL SL</t>
        </is>
      </c>
      <c r="D73" s="2" t="inlineStr">
        <is>
          <t>西班牙</t>
        </is>
      </c>
      <c r="E73" s="2" t="inlineStr">
        <is>
          <t>周小杰</t>
        </is>
      </c>
      <c r="F73" s="3" t="n">
        <v>46214</v>
      </c>
      <c r="G73" s="2" t="n">
        <v>45</v>
      </c>
      <c r="H73" s="3" t="n">
        <v>46259</v>
      </c>
      <c r="I73" s="2" t="inlineStr">
        <is>
          <t>EUR</t>
        </is>
      </c>
      <c r="J73" s="4" t="n">
        <v>7.709685</v>
      </c>
      <c r="K73" s="5" t="n">
        <v>28827.46</v>
      </c>
      <c r="L73" s="6" t="n">
        <v>0.09</v>
      </c>
      <c r="M73" s="5" t="n">
        <v>0</v>
      </c>
      <c r="N73" s="5">
        <f>K73*J73</f>
        <v/>
      </c>
      <c r="O73" s="5">
        <f>M73*J73</f>
        <v/>
      </c>
      <c r="P73" s="5">
        <f>K73-M73</f>
        <v/>
      </c>
      <c r="Q73" s="5">
        <f>N73-O73</f>
        <v/>
      </c>
      <c r="R73" s="2">
        <f>IF(Q73&lt;=0,0,TODAY()-H73)</f>
        <v/>
      </c>
      <c r="S73" s="2">
        <f>IF(Q73&lt;=0,"未到期",IF(S73&lt;=30,"1-30天",IF(S73&lt;=60,"31-60天",IF(S73&lt;=90,"61-90天",IF(S73&lt;=180,"91-180天","180天以上")))))</f>
        <v/>
      </c>
      <c r="T73" s="2">
        <f>IF(Q73&lt;=0,"未到期",IF(S73&gt;0,"逾期","已结清"))</f>
        <v/>
      </c>
    </row>
    <row r="74">
      <c r="A74" s="2" t="inlineStr">
        <is>
          <t>INV26100073</t>
        </is>
      </c>
      <c r="B74" s="2" t="inlineStr">
        <is>
          <t>C013</t>
        </is>
      </c>
      <c r="C74" s="2" t="inlineStr">
        <is>
          <t>ORIENT BRIDGE PTE LTD</t>
        </is>
      </c>
      <c r="D74" s="2" t="inlineStr">
        <is>
          <t>新加坡</t>
        </is>
      </c>
      <c r="E74" s="2" t="inlineStr">
        <is>
          <t>张大丽</t>
        </is>
      </c>
      <c r="F74" s="3" t="n">
        <v>46193</v>
      </c>
      <c r="G74" s="2" t="n">
        <v>30</v>
      </c>
      <c r="H74" s="3" t="n">
        <v>46223</v>
      </c>
      <c r="I74" s="2" t="inlineStr">
        <is>
          <t>SGD</t>
        </is>
      </c>
      <c r="J74" s="4" t="n">
        <v>5.347301</v>
      </c>
      <c r="K74" s="5" t="n">
        <v>66103.42999999999</v>
      </c>
      <c r="L74" s="6" t="n">
        <v>0.09</v>
      </c>
      <c r="M74" s="5" t="n">
        <v>0</v>
      </c>
      <c r="N74" s="5">
        <f>K74*J74</f>
        <v/>
      </c>
      <c r="O74" s="5">
        <f>M74*J74</f>
        <v/>
      </c>
      <c r="P74" s="5">
        <f>K74-M74</f>
        <v/>
      </c>
      <c r="Q74" s="5">
        <f>N74-O74</f>
        <v/>
      </c>
      <c r="R74" s="2">
        <f>IF(Q74&lt;=0,0,TODAY()-H74)</f>
        <v/>
      </c>
      <c r="S74" s="2">
        <f>IF(Q74&lt;=0,"未到期",IF(S74&lt;=30,"1-30天",IF(S74&lt;=60,"31-60天",IF(S74&lt;=90,"61-90天",IF(S74&lt;=180,"91-180天","180天以上")))))</f>
        <v/>
      </c>
      <c r="T74" s="2">
        <f>IF(Q74&lt;=0,"未到期",IF(S74&gt;0,"逾期","已结清"))</f>
        <v/>
      </c>
    </row>
    <row r="75">
      <c r="A75" s="2" t="inlineStr">
        <is>
          <t>INV26100074</t>
        </is>
      </c>
      <c r="B75" s="2" t="inlineStr">
        <is>
          <t>C008</t>
        </is>
      </c>
      <c r="C75" s="2" t="inlineStr">
        <is>
          <t>PACIFIC RIM LLC</t>
        </is>
      </c>
      <c r="D75" s="2" t="inlineStr">
        <is>
          <t>美国</t>
        </is>
      </c>
      <c r="E75" s="2" t="inlineStr">
        <is>
          <t>张大丽</t>
        </is>
      </c>
      <c r="F75" s="3" t="n">
        <v>46267</v>
      </c>
      <c r="G75" s="2" t="n">
        <v>60</v>
      </c>
      <c r="H75" s="3" t="n">
        <v>46327</v>
      </c>
      <c r="I75" s="2" t="inlineStr">
        <is>
          <t>USD</t>
        </is>
      </c>
      <c r="J75" s="4" t="n">
        <v>7.082262</v>
      </c>
      <c r="K75" s="5" t="n">
        <v>70371.62</v>
      </c>
      <c r="L75" s="6" t="n">
        <v>0.13</v>
      </c>
      <c r="M75" s="5" t="n">
        <v>0</v>
      </c>
      <c r="N75" s="5">
        <f>K75*J75</f>
        <v/>
      </c>
      <c r="O75" s="5">
        <f>M75*J75</f>
        <v/>
      </c>
      <c r="P75" s="5">
        <f>K75-M75</f>
        <v/>
      </c>
      <c r="Q75" s="5">
        <f>N75-O75</f>
        <v/>
      </c>
      <c r="R75" s="2">
        <f>IF(Q75&lt;=0,0,TODAY()-H75)</f>
        <v/>
      </c>
      <c r="S75" s="2">
        <f>IF(Q75&lt;=0,"未到期",IF(S75&lt;=30,"1-30天",IF(S75&lt;=60,"31-60天",IF(S75&lt;=90,"61-90天",IF(S75&lt;=180,"91-180天","180天以上")))))</f>
        <v/>
      </c>
      <c r="T75" s="2">
        <f>IF(Q75&lt;=0,"未到期",IF(S75&gt;0,"逾期","已结清"))</f>
        <v/>
      </c>
    </row>
    <row r="76">
      <c r="A76" s="2" t="inlineStr">
        <is>
          <t>INV26100075</t>
        </is>
      </c>
      <c r="B76" s="2" t="inlineStr">
        <is>
          <t>C020</t>
        </is>
      </c>
      <c r="C76" s="2" t="inlineStr">
        <is>
          <t>PRAHA TRADING SRO</t>
        </is>
      </c>
      <c r="D76" s="2" t="inlineStr">
        <is>
          <t>捷克</t>
        </is>
      </c>
      <c r="E76" s="2" t="inlineStr">
        <is>
          <t>张大丽</t>
        </is>
      </c>
      <c r="F76" s="3" t="n">
        <v>46161</v>
      </c>
      <c r="G76" s="2" t="n">
        <v>45</v>
      </c>
      <c r="H76" s="3" t="n">
        <v>46206</v>
      </c>
      <c r="I76" s="2" t="inlineStr">
        <is>
          <t>EUR</t>
        </is>
      </c>
      <c r="J76" s="4" t="n">
        <v>7.681338</v>
      </c>
      <c r="K76" s="5" t="n">
        <v>21578.01</v>
      </c>
      <c r="L76" s="6" t="n">
        <v>0.09</v>
      </c>
      <c r="M76" s="5" t="n">
        <v>0</v>
      </c>
      <c r="N76" s="5">
        <f>K76*J76</f>
        <v/>
      </c>
      <c r="O76" s="5">
        <f>M76*J76</f>
        <v/>
      </c>
      <c r="P76" s="5">
        <f>K76-M76</f>
        <v/>
      </c>
      <c r="Q76" s="5">
        <f>N76-O76</f>
        <v/>
      </c>
      <c r="R76" s="2">
        <f>IF(Q76&lt;=0,0,TODAY()-H76)</f>
        <v/>
      </c>
      <c r="S76" s="2">
        <f>IF(Q76&lt;=0,"未到期",IF(S76&lt;=30,"1-30天",IF(S76&lt;=60,"31-60天",IF(S76&lt;=90,"61-90天",IF(S76&lt;=180,"91-180天","180天以上")))))</f>
        <v/>
      </c>
      <c r="T76" s="2">
        <f>IF(Q76&lt;=0,"未到期",IF(S76&gt;0,"逾期","已结清"))</f>
        <v/>
      </c>
    </row>
    <row r="77">
      <c r="A77" s="2" t="inlineStr">
        <is>
          <t>INV26100076</t>
        </is>
      </c>
      <c r="B77" s="2" t="inlineStr">
        <is>
          <t>C016</t>
        </is>
      </c>
      <c r="C77" s="2" t="inlineStr">
        <is>
          <t>OZ DIRECT PTY LTD</t>
        </is>
      </c>
      <c r="D77" s="2" t="inlineStr">
        <is>
          <t>澳大利亚</t>
        </is>
      </c>
      <c r="E77" s="2" t="inlineStr">
        <is>
          <t>周小杰</t>
        </is>
      </c>
      <c r="F77" s="3" t="n">
        <v>46040</v>
      </c>
      <c r="G77" s="2" t="n">
        <v>45</v>
      </c>
      <c r="H77" s="3" t="n">
        <v>46085</v>
      </c>
      <c r="I77" s="2" t="inlineStr">
        <is>
          <t>AUD</t>
        </is>
      </c>
      <c r="J77" s="4" t="n">
        <v>4.712833</v>
      </c>
      <c r="K77" s="5" t="n">
        <v>101105.17</v>
      </c>
      <c r="L77" s="6" t="n">
        <v>0.09</v>
      </c>
      <c r="M77" s="5" t="n">
        <v>0</v>
      </c>
      <c r="N77" s="5">
        <f>K77*J77</f>
        <v/>
      </c>
      <c r="O77" s="5">
        <f>M77*J77</f>
        <v/>
      </c>
      <c r="P77" s="5">
        <f>K77-M77</f>
        <v/>
      </c>
      <c r="Q77" s="5">
        <f>N77-O77</f>
        <v/>
      </c>
      <c r="R77" s="2">
        <f>IF(Q77&lt;=0,0,TODAY()-H77)</f>
        <v/>
      </c>
      <c r="S77" s="2">
        <f>IF(Q77&lt;=0,"未到期",IF(S77&lt;=30,"1-30天",IF(S77&lt;=60,"31-60天",IF(S77&lt;=90,"61-90天",IF(S77&lt;=180,"91-180天","180天以上")))))</f>
        <v/>
      </c>
      <c r="T77" s="2">
        <f>IF(Q77&lt;=0,"未到期",IF(S77&gt;0,"逾期","已结清"))</f>
        <v/>
      </c>
    </row>
    <row r="78">
      <c r="A78" s="2" t="inlineStr">
        <is>
          <t>INV26100077</t>
        </is>
      </c>
      <c r="B78" s="2" t="inlineStr">
        <is>
          <t>C020</t>
        </is>
      </c>
      <c r="C78" s="2" t="inlineStr">
        <is>
          <t>PRAHA TRADING SRO</t>
        </is>
      </c>
      <c r="D78" s="2" t="inlineStr">
        <is>
          <t>捷克</t>
        </is>
      </c>
      <c r="E78" s="2" t="inlineStr">
        <is>
          <t>张大丽</t>
        </is>
      </c>
      <c r="F78" s="3" t="n">
        <v>46060</v>
      </c>
      <c r="G78" s="2" t="n">
        <v>45</v>
      </c>
      <c r="H78" s="3" t="n">
        <v>46105</v>
      </c>
      <c r="I78" s="2" t="inlineStr">
        <is>
          <t>EUR</t>
        </is>
      </c>
      <c r="J78" s="4" t="n">
        <v>7.679755</v>
      </c>
      <c r="K78" s="5" t="n">
        <v>108301.96</v>
      </c>
      <c r="L78" s="6" t="n">
        <v>0</v>
      </c>
      <c r="M78" s="5" t="n">
        <v>0</v>
      </c>
      <c r="N78" s="5">
        <f>K78*J78</f>
        <v/>
      </c>
      <c r="O78" s="5">
        <f>M78*J78</f>
        <v/>
      </c>
      <c r="P78" s="5">
        <f>K78-M78</f>
        <v/>
      </c>
      <c r="Q78" s="5">
        <f>N78-O78</f>
        <v/>
      </c>
      <c r="R78" s="2">
        <f>IF(Q78&lt;=0,0,TODAY()-H78)</f>
        <v/>
      </c>
      <c r="S78" s="2">
        <f>IF(Q78&lt;=0,"未到期",IF(S78&lt;=30,"1-30天",IF(S78&lt;=60,"31-60天",IF(S78&lt;=90,"61-90天",IF(S78&lt;=180,"91-180天","180天以上")))))</f>
        <v/>
      </c>
      <c r="T78" s="2">
        <f>IF(Q78&lt;=0,"未到期",IF(S78&gt;0,"逾期","已结清"))</f>
        <v/>
      </c>
    </row>
    <row r="79">
      <c r="A79" s="2" t="inlineStr">
        <is>
          <t>INV26100078</t>
        </is>
      </c>
      <c r="B79" s="2" t="inlineStr">
        <is>
          <t>C018</t>
        </is>
      </c>
      <c r="C79" s="2" t="inlineStr">
        <is>
          <t>SANTOS TRADING LTDA</t>
        </is>
      </c>
      <c r="D79" s="2" t="inlineStr">
        <is>
          <t>巴西</t>
        </is>
      </c>
      <c r="E79" s="2" t="inlineStr">
        <is>
          <t>周小杰</t>
        </is>
      </c>
      <c r="F79" s="3" t="n">
        <v>46203</v>
      </c>
      <c r="G79" s="2" t="n">
        <v>120</v>
      </c>
      <c r="H79" s="3" t="n">
        <v>46323</v>
      </c>
      <c r="I79" s="2" t="inlineStr">
        <is>
          <t>USD</t>
        </is>
      </c>
      <c r="J79" s="4" t="n">
        <v>7.068154</v>
      </c>
      <c r="K79" s="5" t="n">
        <v>100238.61</v>
      </c>
      <c r="L79" s="6" t="n">
        <v>0.09</v>
      </c>
      <c r="M79" s="5" t="n">
        <v>30071.58</v>
      </c>
      <c r="N79" s="5">
        <f>K79*J79</f>
        <v/>
      </c>
      <c r="O79" s="5">
        <f>M79*J79</f>
        <v/>
      </c>
      <c r="P79" s="5">
        <f>K79-M79</f>
        <v/>
      </c>
      <c r="Q79" s="5">
        <f>N79-O79</f>
        <v/>
      </c>
      <c r="R79" s="2">
        <f>IF(Q79&lt;=0,0,TODAY()-H79)</f>
        <v/>
      </c>
      <c r="S79" s="2">
        <f>IF(Q79&lt;=0,"未到期",IF(S79&lt;=30,"1-30天",IF(S79&lt;=60,"31-60天",IF(S79&lt;=90,"61-90天",IF(S79&lt;=180,"91-180天","180天以上")))))</f>
        <v/>
      </c>
      <c r="T79" s="2">
        <f>IF(Q79&lt;=0,"未到期",IF(S79&gt;0,"逾期","已结清"))</f>
        <v/>
      </c>
    </row>
    <row r="80">
      <c r="A80" s="2" t="inlineStr">
        <is>
          <t>INV26100079</t>
        </is>
      </c>
      <c r="B80" s="2" t="inlineStr">
        <is>
          <t>C018</t>
        </is>
      </c>
      <c r="C80" s="2" t="inlineStr">
        <is>
          <t>SANTOS TRADING LTDA</t>
        </is>
      </c>
      <c r="D80" s="2" t="inlineStr">
        <is>
          <t>巴西</t>
        </is>
      </c>
      <c r="E80" s="2" t="inlineStr">
        <is>
          <t>周小杰</t>
        </is>
      </c>
      <c r="F80" s="3" t="n">
        <v>46252</v>
      </c>
      <c r="G80" s="2" t="n">
        <v>120</v>
      </c>
      <c r="H80" s="3" t="n">
        <v>46372</v>
      </c>
      <c r="I80" s="2" t="inlineStr">
        <is>
          <t>USD</t>
        </is>
      </c>
      <c r="J80" s="4" t="n">
        <v>6.936248</v>
      </c>
      <c r="K80" s="5" t="n">
        <v>34429.32</v>
      </c>
      <c r="L80" s="6" t="n">
        <v>0</v>
      </c>
      <c r="M80" s="5" t="n">
        <v>0</v>
      </c>
      <c r="N80" s="5">
        <f>K80*J80</f>
        <v/>
      </c>
      <c r="O80" s="5">
        <f>M80*J80</f>
        <v/>
      </c>
      <c r="P80" s="5">
        <f>K80-M80</f>
        <v/>
      </c>
      <c r="Q80" s="5">
        <f>N80-O80</f>
        <v/>
      </c>
      <c r="R80" s="2">
        <f>IF(Q80&lt;=0,0,TODAY()-H80)</f>
        <v/>
      </c>
      <c r="S80" s="2">
        <f>IF(Q80&lt;=0,"未到期",IF(S80&lt;=30,"1-30天",IF(S80&lt;=60,"31-60天",IF(S80&lt;=90,"61-90天",IF(S80&lt;=180,"91-180天","180天以上")))))</f>
        <v/>
      </c>
      <c r="T80" s="2">
        <f>IF(Q80&lt;=0,"未到期",IF(S80&gt;0,"逾期","已结清"))</f>
        <v/>
      </c>
    </row>
    <row r="81">
      <c r="A81" s="2" t="inlineStr">
        <is>
          <t>INV26100080</t>
        </is>
      </c>
      <c r="B81" s="2" t="inlineStr">
        <is>
          <t>C014</t>
        </is>
      </c>
      <c r="C81" s="2" t="inlineStr">
        <is>
          <t>SAKURA IMPORTS KK</t>
        </is>
      </c>
      <c r="D81" s="2" t="inlineStr">
        <is>
          <t>日本</t>
        </is>
      </c>
      <c r="E81" s="2" t="inlineStr">
        <is>
          <t>周小杰</t>
        </is>
      </c>
      <c r="F81" s="3" t="n">
        <v>46162</v>
      </c>
      <c r="G81" s="2" t="n">
        <v>30</v>
      </c>
      <c r="H81" s="3" t="n">
        <v>46192</v>
      </c>
      <c r="I81" s="2" t="inlineStr">
        <is>
          <t>JPY</t>
        </is>
      </c>
      <c r="J81" s="4" t="n">
        <v>0.046897</v>
      </c>
      <c r="K81" s="5" t="n">
        <v>5269910</v>
      </c>
      <c r="L81" s="6" t="n">
        <v>0.13</v>
      </c>
      <c r="M81" s="5" t="n">
        <v>0</v>
      </c>
      <c r="N81" s="5">
        <f>K81*J81</f>
        <v/>
      </c>
      <c r="O81" s="5">
        <f>M81*J81</f>
        <v/>
      </c>
      <c r="P81" s="5">
        <f>K81-M81</f>
        <v/>
      </c>
      <c r="Q81" s="5">
        <f>N81-O81</f>
        <v/>
      </c>
      <c r="R81" s="2">
        <f>IF(Q81&lt;=0,0,TODAY()-H81)</f>
        <v/>
      </c>
      <c r="S81" s="2">
        <f>IF(Q81&lt;=0,"未到期",IF(S81&lt;=30,"1-30天",IF(S81&lt;=60,"31-60天",IF(S81&lt;=90,"61-90天",IF(S81&lt;=180,"91-180天","180天以上")))))</f>
        <v/>
      </c>
      <c r="T81" s="2">
        <f>IF(Q81&lt;=0,"未到期",IF(S81&gt;0,"逾期","已结清"))</f>
        <v/>
      </c>
    </row>
    <row r="82">
      <c r="A82" s="2" t="inlineStr">
        <is>
          <t>INV26100081</t>
        </is>
      </c>
      <c r="B82" s="2" t="inlineStr">
        <is>
          <t>C010</t>
        </is>
      </c>
      <c r="C82" s="2" t="inlineStr">
        <is>
          <t>SAHARA DISTRIBUTION SARL</t>
        </is>
      </c>
      <c r="D82" s="2" t="inlineStr">
        <is>
          <t>摩洛哥</t>
        </is>
      </c>
      <c r="E82" s="2" t="inlineStr">
        <is>
          <t>张大丽</t>
        </is>
      </c>
      <c r="F82" s="3" t="n">
        <v>46279</v>
      </c>
      <c r="G82" s="2" t="n">
        <v>90</v>
      </c>
      <c r="H82" s="3" t="n">
        <v>46369</v>
      </c>
      <c r="I82" s="2" t="inlineStr">
        <is>
          <t>USD</t>
        </is>
      </c>
      <c r="J82" s="4" t="n">
        <v>6.962694</v>
      </c>
      <c r="K82" s="5" t="n">
        <v>87051.25999999999</v>
      </c>
      <c r="L82" s="6" t="n">
        <v>0.09</v>
      </c>
      <c r="M82" s="5" t="n">
        <v>43525.63</v>
      </c>
      <c r="N82" s="5">
        <f>K82*J82</f>
        <v/>
      </c>
      <c r="O82" s="5">
        <f>M82*J82</f>
        <v/>
      </c>
      <c r="P82" s="5">
        <f>K82-M82</f>
        <v/>
      </c>
      <c r="Q82" s="5">
        <f>N82-O82</f>
        <v/>
      </c>
      <c r="R82" s="2">
        <f>IF(Q82&lt;=0,0,TODAY()-H82)</f>
        <v/>
      </c>
      <c r="S82" s="2">
        <f>IF(Q82&lt;=0,"未到期",IF(S82&lt;=30,"1-30天",IF(S82&lt;=60,"31-60天",IF(S82&lt;=90,"61-90天",IF(S82&lt;=180,"91-180天","180天以上")))))</f>
        <v/>
      </c>
      <c r="T82" s="2">
        <f>IF(Q82&lt;=0,"未到期",IF(S82&gt;0,"逾期","已结清"))</f>
        <v/>
      </c>
    </row>
    <row r="83">
      <c r="A83" s="2" t="inlineStr">
        <is>
          <t>INV26100082</t>
        </is>
      </c>
      <c r="B83" s="2" t="inlineStr">
        <is>
          <t>C006</t>
        </is>
      </c>
      <c r="C83" s="2" t="inlineStr">
        <is>
          <t>ATLANTIC GOODS LTD</t>
        </is>
      </c>
      <c r="D83" s="2" t="inlineStr">
        <is>
          <t>英国</t>
        </is>
      </c>
      <c r="E83" s="2" t="inlineStr">
        <is>
          <t>张大丽</t>
        </is>
      </c>
      <c r="F83" s="3" t="n">
        <v>46056</v>
      </c>
      <c r="G83" s="2" t="n">
        <v>30</v>
      </c>
      <c r="H83" s="3" t="n">
        <v>46086</v>
      </c>
      <c r="I83" s="2" t="inlineStr">
        <is>
          <t>GBP</t>
        </is>
      </c>
      <c r="J83" s="4" t="n">
        <v>9.094858</v>
      </c>
      <c r="K83" s="5" t="n">
        <v>92796.28</v>
      </c>
      <c r="L83" s="6" t="n">
        <v>0.09</v>
      </c>
      <c r="M83" s="5" t="n">
        <v>0</v>
      </c>
      <c r="N83" s="5">
        <f>K83*J83</f>
        <v/>
      </c>
      <c r="O83" s="5">
        <f>M83*J83</f>
        <v/>
      </c>
      <c r="P83" s="5">
        <f>K83-M83</f>
        <v/>
      </c>
      <c r="Q83" s="5">
        <f>N83-O83</f>
        <v/>
      </c>
      <c r="R83" s="2">
        <f>IF(Q83&lt;=0,0,TODAY()-H83)</f>
        <v/>
      </c>
      <c r="S83" s="2">
        <f>IF(Q83&lt;=0,"未到期",IF(S83&lt;=30,"1-30天",IF(S83&lt;=60,"31-60天",IF(S83&lt;=90,"61-90天",IF(S83&lt;=180,"91-180天","180天以上")))))</f>
        <v/>
      </c>
      <c r="T83" s="2">
        <f>IF(Q83&lt;=0,"未到期",IF(S83&gt;0,"逾期","已结清"))</f>
        <v/>
      </c>
    </row>
    <row r="84">
      <c r="A84" s="2" t="inlineStr">
        <is>
          <t>INV26100083</t>
        </is>
      </c>
      <c r="B84" s="2" t="inlineStr">
        <is>
          <t>C016</t>
        </is>
      </c>
      <c r="C84" s="2" t="inlineStr">
        <is>
          <t>OZ DIRECT PTY LTD</t>
        </is>
      </c>
      <c r="D84" s="2" t="inlineStr">
        <is>
          <t>澳大利亚</t>
        </is>
      </c>
      <c r="E84" s="2" t="inlineStr">
        <is>
          <t>刘小源</t>
        </is>
      </c>
      <c r="F84" s="3" t="n">
        <v>46122</v>
      </c>
      <c r="G84" s="2" t="n">
        <v>45</v>
      </c>
      <c r="H84" s="3" t="n">
        <v>46167</v>
      </c>
      <c r="I84" s="2" t="inlineStr">
        <is>
          <t>AUD</t>
        </is>
      </c>
      <c r="J84" s="4" t="n">
        <v>4.705134</v>
      </c>
      <c r="K84" s="5" t="n">
        <v>25675.28</v>
      </c>
      <c r="L84" s="6" t="n">
        <v>0.09</v>
      </c>
      <c r="M84" s="5" t="n">
        <v>12837.64</v>
      </c>
      <c r="N84" s="5">
        <f>K84*J84</f>
        <v/>
      </c>
      <c r="O84" s="5">
        <f>M84*J84</f>
        <v/>
      </c>
      <c r="P84" s="5">
        <f>K84-M84</f>
        <v/>
      </c>
      <c r="Q84" s="5">
        <f>N84-O84</f>
        <v/>
      </c>
      <c r="R84" s="2">
        <f>IF(Q84&lt;=0,0,TODAY()-H84)</f>
        <v/>
      </c>
      <c r="S84" s="2">
        <f>IF(Q84&lt;=0,"未到期",IF(S84&lt;=30,"1-30天",IF(S84&lt;=60,"31-60天",IF(S84&lt;=90,"61-90天",IF(S84&lt;=180,"91-180天","180天以上")))))</f>
        <v/>
      </c>
      <c r="T84" s="2">
        <f>IF(Q84&lt;=0,"未到期",IF(S84&gt;0,"逾期","已结清"))</f>
        <v/>
      </c>
    </row>
    <row r="85">
      <c r="A85" s="2" t="inlineStr">
        <is>
          <t>INV26100084</t>
        </is>
      </c>
      <c r="B85" s="2" t="inlineStr">
        <is>
          <t>C014</t>
        </is>
      </c>
      <c r="C85" s="2" t="inlineStr">
        <is>
          <t>SAKURA IMPORTS KK</t>
        </is>
      </c>
      <c r="D85" s="2" t="inlineStr">
        <is>
          <t>日本</t>
        </is>
      </c>
      <c r="E85" s="2" t="inlineStr">
        <is>
          <t>刘小源</t>
        </is>
      </c>
      <c r="F85" s="3" t="n">
        <v>46138</v>
      </c>
      <c r="G85" s="2" t="n">
        <v>30</v>
      </c>
      <c r="H85" s="3" t="n">
        <v>46168</v>
      </c>
      <c r="I85" s="2" t="inlineStr">
        <is>
          <t>JPY</t>
        </is>
      </c>
      <c r="J85" s="4" t="n">
        <v>0.046505</v>
      </c>
      <c r="K85" s="5" t="n">
        <v>4361904</v>
      </c>
      <c r="L85" s="6" t="n">
        <v>0</v>
      </c>
      <c r="M85" s="5" t="n">
        <v>0</v>
      </c>
      <c r="N85" s="5">
        <f>K85*J85</f>
        <v/>
      </c>
      <c r="O85" s="5">
        <f>M85*J85</f>
        <v/>
      </c>
      <c r="P85" s="5">
        <f>K85-M85</f>
        <v/>
      </c>
      <c r="Q85" s="5">
        <f>N85-O85</f>
        <v/>
      </c>
      <c r="R85" s="2">
        <f>IF(Q85&lt;=0,0,TODAY()-H85)</f>
        <v/>
      </c>
      <c r="S85" s="2">
        <f>IF(Q85&lt;=0,"未到期",IF(S85&lt;=30,"1-30天",IF(S85&lt;=60,"31-60天",IF(S85&lt;=90,"61-90天",IF(S85&lt;=180,"91-180天","180天以上")))))</f>
        <v/>
      </c>
      <c r="T85" s="2">
        <f>IF(Q85&lt;=0,"未到期",IF(S85&gt;0,"逾期","已结清"))</f>
        <v/>
      </c>
    </row>
    <row r="86">
      <c r="A86" s="2" t="inlineStr">
        <is>
          <t>INV26100085</t>
        </is>
      </c>
      <c r="B86" s="2" t="inlineStr">
        <is>
          <t>C014</t>
        </is>
      </c>
      <c r="C86" s="2" t="inlineStr">
        <is>
          <t>SAKURA IMPORTS KK</t>
        </is>
      </c>
      <c r="D86" s="2" t="inlineStr">
        <is>
          <t>日本</t>
        </is>
      </c>
      <c r="E86" s="2" t="inlineStr">
        <is>
          <t>周小杰</t>
        </is>
      </c>
      <c r="F86" s="3" t="n">
        <v>46090</v>
      </c>
      <c r="G86" s="2" t="n">
        <v>30</v>
      </c>
      <c r="H86" s="3" t="n">
        <v>46120</v>
      </c>
      <c r="I86" s="2" t="inlineStr">
        <is>
          <t>JPY</t>
        </is>
      </c>
      <c r="J86" s="4" t="n">
        <v>0.047365</v>
      </c>
      <c r="K86" s="5" t="n">
        <v>3742427</v>
      </c>
      <c r="L86" s="6" t="n">
        <v>0.13</v>
      </c>
      <c r="M86" s="5" t="n">
        <v>0</v>
      </c>
      <c r="N86" s="5">
        <f>K86*J86</f>
        <v/>
      </c>
      <c r="O86" s="5">
        <f>M86*J86</f>
        <v/>
      </c>
      <c r="P86" s="5">
        <f>K86-M86</f>
        <v/>
      </c>
      <c r="Q86" s="5">
        <f>N86-O86</f>
        <v/>
      </c>
      <c r="R86" s="2">
        <f>IF(Q86&lt;=0,0,TODAY()-H86)</f>
        <v/>
      </c>
      <c r="S86" s="2">
        <f>IF(Q86&lt;=0,"未到期",IF(S86&lt;=30,"1-30天",IF(S86&lt;=60,"31-60天",IF(S86&lt;=90,"61-90天",IF(S86&lt;=180,"91-180天","180天以上")))))</f>
        <v/>
      </c>
      <c r="T86" s="2">
        <f>IF(Q86&lt;=0,"未到期",IF(S86&gt;0,"逾期","已结清"))</f>
        <v/>
      </c>
    </row>
    <row r="87">
      <c r="A87" s="2" t="inlineStr">
        <is>
          <t>INV26100086</t>
        </is>
      </c>
      <c r="B87" s="2" t="inlineStr">
        <is>
          <t>C012</t>
        </is>
      </c>
      <c r="C87" s="2" t="inlineStr">
        <is>
          <t>GULF STAR GENERAL TRD</t>
        </is>
      </c>
      <c r="D87" s="2" t="inlineStr">
        <is>
          <t>阿联酋</t>
        </is>
      </c>
      <c r="E87" s="2" t="inlineStr">
        <is>
          <t>张大丽</t>
        </is>
      </c>
      <c r="F87" s="3" t="n">
        <v>46043</v>
      </c>
      <c r="G87" s="2" t="n">
        <v>45</v>
      </c>
      <c r="H87" s="3" t="n">
        <v>46088</v>
      </c>
      <c r="I87" s="2" t="inlineStr">
        <is>
          <t>USD</t>
        </is>
      </c>
      <c r="J87" s="4" t="n">
        <v>7.047401</v>
      </c>
      <c r="K87" s="5" t="n">
        <v>79976.7</v>
      </c>
      <c r="L87" s="6" t="n">
        <v>0</v>
      </c>
      <c r="M87" s="5" t="n">
        <v>0</v>
      </c>
      <c r="N87" s="5">
        <f>K87*J87</f>
        <v/>
      </c>
      <c r="O87" s="5">
        <f>M87*J87</f>
        <v/>
      </c>
      <c r="P87" s="5">
        <f>K87-M87</f>
        <v/>
      </c>
      <c r="Q87" s="5">
        <f>N87-O87</f>
        <v/>
      </c>
      <c r="R87" s="2">
        <f>IF(Q87&lt;=0,0,TODAY()-H87)</f>
        <v/>
      </c>
      <c r="S87" s="2">
        <f>IF(Q87&lt;=0,"未到期",IF(S87&lt;=30,"1-30天",IF(S87&lt;=60,"31-60天",IF(S87&lt;=90,"61-90天",IF(S87&lt;=180,"91-180天","180天以上")))))</f>
        <v/>
      </c>
      <c r="T87" s="2">
        <f>IF(Q87&lt;=0,"未到期",IF(S87&gt;0,"逾期","已结清"))</f>
        <v/>
      </c>
    </row>
    <row r="88">
      <c r="A88" s="2" t="inlineStr">
        <is>
          <t>INV26100087</t>
        </is>
      </c>
      <c r="B88" s="2" t="inlineStr">
        <is>
          <t>C003</t>
        </is>
      </c>
      <c r="C88" s="2" t="inlineStr">
        <is>
          <t>ALPINE SPORT AG</t>
        </is>
      </c>
      <c r="D88" s="2" t="inlineStr">
        <is>
          <t>奥地利</t>
        </is>
      </c>
      <c r="E88" s="2" t="inlineStr">
        <is>
          <t>张大丽</t>
        </is>
      </c>
      <c r="F88" s="3" t="n">
        <v>46247</v>
      </c>
      <c r="G88" s="2" t="n">
        <v>45</v>
      </c>
      <c r="H88" s="3" t="n">
        <v>46292</v>
      </c>
      <c r="I88" s="2" t="inlineStr">
        <is>
          <t>EUR</t>
        </is>
      </c>
      <c r="J88" s="4" t="n">
        <v>7.66228</v>
      </c>
      <c r="K88" s="5" t="n">
        <v>50352.53</v>
      </c>
      <c r="L88" s="6" t="n">
        <v>0.13</v>
      </c>
      <c r="M88" s="5" t="n">
        <v>20141.01</v>
      </c>
      <c r="N88" s="5">
        <f>K88*J88</f>
        <v/>
      </c>
      <c r="O88" s="5">
        <f>M88*J88</f>
        <v/>
      </c>
      <c r="P88" s="5">
        <f>K88-M88</f>
        <v/>
      </c>
      <c r="Q88" s="5">
        <f>N88-O88</f>
        <v/>
      </c>
      <c r="R88" s="2">
        <f>IF(Q88&lt;=0,0,TODAY()-H88)</f>
        <v/>
      </c>
      <c r="S88" s="2">
        <f>IF(Q88&lt;=0,"未到期",IF(S88&lt;=30,"1-30天",IF(S88&lt;=60,"31-60天",IF(S88&lt;=90,"61-90天",IF(S88&lt;=180,"91-180天","180天以上")))))</f>
        <v/>
      </c>
      <c r="T88" s="2">
        <f>IF(Q88&lt;=0,"未到期",IF(S88&gt;0,"逾期","已结清"))</f>
        <v/>
      </c>
    </row>
    <row r="89">
      <c r="A89" s="2" t="inlineStr">
        <is>
          <t>INV26100088</t>
        </is>
      </c>
      <c r="B89" s="2" t="inlineStr">
        <is>
          <t>C013</t>
        </is>
      </c>
      <c r="C89" s="2" t="inlineStr">
        <is>
          <t>ORIENT BRIDGE PTE LTD</t>
        </is>
      </c>
      <c r="D89" s="2" t="inlineStr">
        <is>
          <t>新加坡</t>
        </is>
      </c>
      <c r="E89" s="2" t="inlineStr">
        <is>
          <t>周小杰</t>
        </is>
      </c>
      <c r="F89" s="3" t="n">
        <v>46104</v>
      </c>
      <c r="G89" s="2" t="n">
        <v>30</v>
      </c>
      <c r="H89" s="3" t="n">
        <v>46134</v>
      </c>
      <c r="I89" s="2" t="inlineStr">
        <is>
          <t>SGD</t>
        </is>
      </c>
      <c r="J89" s="4" t="n">
        <v>5.395192</v>
      </c>
      <c r="K89" s="5" t="n">
        <v>16889.19</v>
      </c>
      <c r="L89" s="6" t="n">
        <v>0.13</v>
      </c>
      <c r="M89" s="5" t="n">
        <v>3377.84</v>
      </c>
      <c r="N89" s="5">
        <f>K89*J89</f>
        <v/>
      </c>
      <c r="O89" s="5">
        <f>M89*J89</f>
        <v/>
      </c>
      <c r="P89" s="5">
        <f>K89-M89</f>
        <v/>
      </c>
      <c r="Q89" s="5">
        <f>N89-O89</f>
        <v/>
      </c>
      <c r="R89" s="2">
        <f>IF(Q89&lt;=0,0,TODAY()-H89)</f>
        <v/>
      </c>
      <c r="S89" s="2">
        <f>IF(Q89&lt;=0,"未到期",IF(S89&lt;=30,"1-30天",IF(S89&lt;=60,"31-60天",IF(S89&lt;=90,"61-90天",IF(S89&lt;=180,"91-180天","180天以上")))))</f>
        <v/>
      </c>
      <c r="T89" s="2">
        <f>IF(Q89&lt;=0,"未到期",IF(S89&gt;0,"逾期","已结清"))</f>
        <v/>
      </c>
    </row>
    <row r="90">
      <c r="A90" s="2" t="inlineStr">
        <is>
          <t>INV26100089</t>
        </is>
      </c>
      <c r="B90" s="2" t="inlineStr">
        <is>
          <t>C006</t>
        </is>
      </c>
      <c r="C90" s="2" t="inlineStr">
        <is>
          <t>ATLANTIC GOODS LTD</t>
        </is>
      </c>
      <c r="D90" s="2" t="inlineStr">
        <is>
          <t>英国</t>
        </is>
      </c>
      <c r="E90" s="2" t="inlineStr">
        <is>
          <t>刘小源</t>
        </is>
      </c>
      <c r="F90" s="3" t="n">
        <v>46149</v>
      </c>
      <c r="G90" s="2" t="n">
        <v>30</v>
      </c>
      <c r="H90" s="3" t="n">
        <v>46179</v>
      </c>
      <c r="I90" s="2" t="inlineStr">
        <is>
          <t>GBP</t>
        </is>
      </c>
      <c r="J90" s="4" t="n">
        <v>9.06523</v>
      </c>
      <c r="K90" s="5" t="n">
        <v>66009.23</v>
      </c>
      <c r="L90" s="6" t="n">
        <v>0.09</v>
      </c>
      <c r="M90" s="5" t="n">
        <v>33004.61</v>
      </c>
      <c r="N90" s="5">
        <f>K90*J90</f>
        <v/>
      </c>
      <c r="O90" s="5">
        <f>M90*J90</f>
        <v/>
      </c>
      <c r="P90" s="5">
        <f>K90-M90</f>
        <v/>
      </c>
      <c r="Q90" s="5">
        <f>N90-O90</f>
        <v/>
      </c>
      <c r="R90" s="2">
        <f>IF(Q90&lt;=0,0,TODAY()-H90)</f>
        <v/>
      </c>
      <c r="S90" s="2">
        <f>IF(Q90&lt;=0,"未到期",IF(S90&lt;=30,"1-30天",IF(S90&lt;=60,"31-60天",IF(S90&lt;=90,"61-90天",IF(S90&lt;=180,"91-180天","180天以上")))))</f>
        <v/>
      </c>
      <c r="T90" s="2">
        <f>IF(Q90&lt;=0,"未到期",IF(S90&gt;0,"逾期","已结清"))</f>
        <v/>
      </c>
    </row>
    <row r="91">
      <c r="A91" s="2" t="inlineStr">
        <is>
          <t>INV26100090</t>
        </is>
      </c>
      <c r="B91" s="2" t="inlineStr">
        <is>
          <t>C002</t>
        </is>
      </c>
      <c r="C91" s="2" t="inlineStr">
        <is>
          <t>NORDIC HOME AB</t>
        </is>
      </c>
      <c r="D91" s="2" t="inlineStr">
        <is>
          <t>瑞典</t>
        </is>
      </c>
      <c r="E91" s="2" t="inlineStr">
        <is>
          <t>周小杰</t>
        </is>
      </c>
      <c r="F91" s="3" t="n">
        <v>46158</v>
      </c>
      <c r="G91" s="2" t="n">
        <v>30</v>
      </c>
      <c r="H91" s="3" t="n">
        <v>46188</v>
      </c>
      <c r="I91" s="2" t="inlineStr">
        <is>
          <t>SEK</t>
        </is>
      </c>
      <c r="J91" s="4" t="n">
        <v>0.661789</v>
      </c>
      <c r="K91" s="5" t="n">
        <v>27719.08</v>
      </c>
      <c r="L91" s="6" t="n">
        <v>0</v>
      </c>
      <c r="M91" s="5" t="n">
        <v>0</v>
      </c>
      <c r="N91" s="5">
        <f>K91*J91</f>
        <v/>
      </c>
      <c r="O91" s="5">
        <f>M91*J91</f>
        <v/>
      </c>
      <c r="P91" s="5">
        <f>K91-M91</f>
        <v/>
      </c>
      <c r="Q91" s="5">
        <f>N91-O91</f>
        <v/>
      </c>
      <c r="R91" s="2">
        <f>IF(Q91&lt;=0,0,TODAY()-H91)</f>
        <v/>
      </c>
      <c r="S91" s="2">
        <f>IF(Q91&lt;=0,"未到期",IF(S91&lt;=30,"1-30天",IF(S91&lt;=60,"31-60天",IF(S91&lt;=90,"61-90天",IF(S91&lt;=180,"91-180天","180天以上")))))</f>
        <v/>
      </c>
      <c r="T91" s="2">
        <f>IF(Q91&lt;=0,"未到期",IF(S91&gt;0,"逾期","已结清"))</f>
        <v/>
      </c>
    </row>
    <row r="92">
      <c r="A92" s="2" t="inlineStr">
        <is>
          <t>INV26100091</t>
        </is>
      </c>
      <c r="B92" s="2" t="inlineStr">
        <is>
          <t>C007</t>
        </is>
      </c>
      <c r="C92" s="2" t="inlineStr">
        <is>
          <t>MAPLE LEAF IMPORTS INC</t>
        </is>
      </c>
      <c r="D92" s="2" t="inlineStr">
        <is>
          <t>加拿大</t>
        </is>
      </c>
      <c r="E92" s="2" t="inlineStr">
        <is>
          <t>张大丽</t>
        </is>
      </c>
      <c r="F92" s="3" t="n">
        <v>46316</v>
      </c>
      <c r="G92" s="2" t="n">
        <v>60</v>
      </c>
      <c r="H92" s="3" t="n">
        <v>46376</v>
      </c>
      <c r="I92" s="2" t="inlineStr">
        <is>
          <t>CAD</t>
        </is>
      </c>
      <c r="J92" s="4" t="n">
        <v>5.004259</v>
      </c>
      <c r="K92" s="5" t="n">
        <v>111662.58</v>
      </c>
      <c r="L92" s="6" t="n">
        <v>0</v>
      </c>
      <c r="M92" s="5" t="n">
        <v>0</v>
      </c>
      <c r="N92" s="5">
        <f>K92*J92</f>
        <v/>
      </c>
      <c r="O92" s="5">
        <f>M92*J92</f>
        <v/>
      </c>
      <c r="P92" s="5">
        <f>K92-M92</f>
        <v/>
      </c>
      <c r="Q92" s="5">
        <f>N92-O92</f>
        <v/>
      </c>
      <c r="R92" s="2">
        <f>IF(Q92&lt;=0,0,TODAY()-H92)</f>
        <v/>
      </c>
      <c r="S92" s="2">
        <f>IF(Q92&lt;=0,"未到期",IF(S92&lt;=30,"1-30天",IF(S92&lt;=60,"31-60天",IF(S92&lt;=90,"61-90天",IF(S92&lt;=180,"91-180天","180天以上")))))</f>
        <v/>
      </c>
      <c r="T92" s="2">
        <f>IF(Q92&lt;=0,"未到期",IF(S92&gt;0,"逾期","已结清"))</f>
        <v/>
      </c>
    </row>
    <row r="93">
      <c r="A93" s="2" t="inlineStr">
        <is>
          <t>INV26100092</t>
        </is>
      </c>
      <c r="B93" s="2" t="inlineStr">
        <is>
          <t>C011</t>
        </is>
      </c>
      <c r="C93" s="2" t="inlineStr">
        <is>
          <t>NILE TRADING CO</t>
        </is>
      </c>
      <c r="D93" s="2" t="inlineStr">
        <is>
          <t>埃及</t>
        </is>
      </c>
      <c r="E93" s="2" t="inlineStr">
        <is>
          <t>刘小源</t>
        </is>
      </c>
      <c r="F93" s="3" t="n">
        <v>46194</v>
      </c>
      <c r="G93" s="2" t="n">
        <v>90</v>
      </c>
      <c r="H93" s="3" t="n">
        <v>46284</v>
      </c>
      <c r="I93" s="2" t="inlineStr">
        <is>
          <t>USD</t>
        </is>
      </c>
      <c r="J93" s="4" t="n">
        <v>7.016147</v>
      </c>
      <c r="K93" s="5" t="n">
        <v>29226.7</v>
      </c>
      <c r="L93" s="6" t="n">
        <v>0</v>
      </c>
      <c r="M93" s="5" t="n">
        <v>2922.67</v>
      </c>
      <c r="N93" s="5">
        <f>K93*J93</f>
        <v/>
      </c>
      <c r="O93" s="5">
        <f>M93*J93</f>
        <v/>
      </c>
      <c r="P93" s="5">
        <f>K93-M93</f>
        <v/>
      </c>
      <c r="Q93" s="5">
        <f>N93-O93</f>
        <v/>
      </c>
      <c r="R93" s="2">
        <f>IF(Q93&lt;=0,0,TODAY()-H93)</f>
        <v/>
      </c>
      <c r="S93" s="2">
        <f>IF(Q93&lt;=0,"未到期",IF(S93&lt;=30,"1-30天",IF(S93&lt;=60,"31-60天",IF(S93&lt;=90,"61-90天",IF(S93&lt;=180,"91-180天","180天以上")))))</f>
        <v/>
      </c>
      <c r="T93" s="2">
        <f>IF(Q93&lt;=0,"未到期",IF(S93&gt;0,"逾期","已结清"))</f>
        <v/>
      </c>
    </row>
    <row r="94">
      <c r="A94" s="2" t="inlineStr">
        <is>
          <t>INV26100093</t>
        </is>
      </c>
      <c r="B94" s="2" t="inlineStr">
        <is>
          <t>C017</t>
        </is>
      </c>
      <c r="C94" s="2" t="inlineStr">
        <is>
          <t>ANDES COMERCIAL SA</t>
        </is>
      </c>
      <c r="D94" s="2" t="inlineStr">
        <is>
          <t>智利</t>
        </is>
      </c>
      <c r="E94" s="2" t="inlineStr">
        <is>
          <t>周小杰</t>
        </is>
      </c>
      <c r="F94" s="3" t="n">
        <v>46159</v>
      </c>
      <c r="G94" s="2" t="n">
        <v>90</v>
      </c>
      <c r="H94" s="3" t="n">
        <v>46249</v>
      </c>
      <c r="I94" s="2" t="inlineStr">
        <is>
          <t>USD</t>
        </is>
      </c>
      <c r="J94" s="4" t="n">
        <v>7.003204</v>
      </c>
      <c r="K94" s="5" t="n">
        <v>53819.05</v>
      </c>
      <c r="L94" s="6" t="n">
        <v>0</v>
      </c>
      <c r="M94" s="5" t="n">
        <v>5381.91</v>
      </c>
      <c r="N94" s="5">
        <f>K94*J94</f>
        <v/>
      </c>
      <c r="O94" s="5">
        <f>M94*J94</f>
        <v/>
      </c>
      <c r="P94" s="5">
        <f>K94-M94</f>
        <v/>
      </c>
      <c r="Q94" s="5">
        <f>N94-O94</f>
        <v/>
      </c>
      <c r="R94" s="2">
        <f>IF(Q94&lt;=0,0,TODAY()-H94)</f>
        <v/>
      </c>
      <c r="S94" s="2">
        <f>IF(Q94&lt;=0,"未到期",IF(S94&lt;=30,"1-30天",IF(S94&lt;=60,"31-60天",IF(S94&lt;=90,"61-90天",IF(S94&lt;=180,"91-180天","180天以上")))))</f>
        <v/>
      </c>
      <c r="T94" s="2">
        <f>IF(Q94&lt;=0,"未到期",IF(S94&gt;0,"逾期","已结清"))</f>
        <v/>
      </c>
    </row>
    <row r="95">
      <c r="A95" s="2" t="inlineStr">
        <is>
          <t>INV26100094</t>
        </is>
      </c>
      <c r="B95" s="2" t="inlineStr">
        <is>
          <t>C008</t>
        </is>
      </c>
      <c r="C95" s="2" t="inlineStr">
        <is>
          <t>PACIFIC RIM LLC</t>
        </is>
      </c>
      <c r="D95" s="2" t="inlineStr">
        <is>
          <t>美国</t>
        </is>
      </c>
      <c r="E95" s="2" t="inlineStr">
        <is>
          <t>张大丽</t>
        </is>
      </c>
      <c r="F95" s="3" t="n">
        <v>46276</v>
      </c>
      <c r="G95" s="2" t="n">
        <v>60</v>
      </c>
      <c r="H95" s="3" t="n">
        <v>46336</v>
      </c>
      <c r="I95" s="2" t="inlineStr">
        <is>
          <t>USD</t>
        </is>
      </c>
      <c r="J95" s="4" t="n">
        <v>7.039519</v>
      </c>
      <c r="K95" s="5" t="n">
        <v>26942.25</v>
      </c>
      <c r="L95" s="6" t="n">
        <v>0.09</v>
      </c>
      <c r="M95" s="5" t="n">
        <v>0</v>
      </c>
      <c r="N95" s="5">
        <f>K95*J95</f>
        <v/>
      </c>
      <c r="O95" s="5">
        <f>M95*J95</f>
        <v/>
      </c>
      <c r="P95" s="5">
        <f>K95-M95</f>
        <v/>
      </c>
      <c r="Q95" s="5">
        <f>N95-O95</f>
        <v/>
      </c>
      <c r="R95" s="2">
        <f>IF(Q95&lt;=0,0,TODAY()-H95)</f>
        <v/>
      </c>
      <c r="S95" s="2">
        <f>IF(Q95&lt;=0,"未到期",IF(S95&lt;=30,"1-30天",IF(S95&lt;=60,"31-60天",IF(S95&lt;=90,"61-90天",IF(S95&lt;=180,"91-180天","180天以上")))))</f>
        <v/>
      </c>
      <c r="T95" s="2">
        <f>IF(Q95&lt;=0,"未到期",IF(S95&gt;0,"逾期","已结清"))</f>
        <v/>
      </c>
    </row>
    <row r="96">
      <c r="A96" s="2" t="inlineStr">
        <is>
          <t>INV26100095</t>
        </is>
      </c>
      <c r="B96" s="2" t="inlineStr">
        <is>
          <t>C018</t>
        </is>
      </c>
      <c r="C96" s="2" t="inlineStr">
        <is>
          <t>SANTOS TRADING LTDA</t>
        </is>
      </c>
      <c r="D96" s="2" t="inlineStr">
        <is>
          <t>巴西</t>
        </is>
      </c>
      <c r="E96" s="2" t="inlineStr">
        <is>
          <t>周小杰</t>
        </is>
      </c>
      <c r="F96" s="3" t="n">
        <v>46157</v>
      </c>
      <c r="G96" s="2" t="n">
        <v>120</v>
      </c>
      <c r="H96" s="3" t="n">
        <v>46277</v>
      </c>
      <c r="I96" s="2" t="inlineStr">
        <is>
          <t>USD</t>
        </is>
      </c>
      <c r="J96" s="4" t="n">
        <v>7.002459</v>
      </c>
      <c r="K96" s="5" t="n">
        <v>109096.58</v>
      </c>
      <c r="L96" s="6" t="n">
        <v>0.09</v>
      </c>
      <c r="M96" s="5" t="n">
        <v>32728.97</v>
      </c>
      <c r="N96" s="5">
        <f>K96*J96</f>
        <v/>
      </c>
      <c r="O96" s="5">
        <f>M96*J96</f>
        <v/>
      </c>
      <c r="P96" s="5">
        <f>K96-M96</f>
        <v/>
      </c>
      <c r="Q96" s="5">
        <f>N96-O96</f>
        <v/>
      </c>
      <c r="R96" s="2">
        <f>IF(Q96&lt;=0,0,TODAY()-H96)</f>
        <v/>
      </c>
      <c r="S96" s="2">
        <f>IF(Q96&lt;=0,"未到期",IF(S96&lt;=30,"1-30天",IF(S96&lt;=60,"31-60天",IF(S96&lt;=90,"61-90天",IF(S96&lt;=180,"91-180天","180天以上")))))</f>
        <v/>
      </c>
      <c r="T96" s="2">
        <f>IF(Q96&lt;=0,"未到期",IF(S96&gt;0,"逾期","已结清"))</f>
        <v/>
      </c>
    </row>
    <row r="97">
      <c r="A97" s="2" t="inlineStr">
        <is>
          <t>INV26100096</t>
        </is>
      </c>
      <c r="B97" s="2" t="inlineStr">
        <is>
          <t>C007</t>
        </is>
      </c>
      <c r="C97" s="2" t="inlineStr">
        <is>
          <t>MAPLE LEAF IMPORTS INC</t>
        </is>
      </c>
      <c r="D97" s="2" t="inlineStr">
        <is>
          <t>加拿大</t>
        </is>
      </c>
      <c r="E97" s="2" t="inlineStr">
        <is>
          <t>刘小源</t>
        </is>
      </c>
      <c r="F97" s="3" t="n">
        <v>46160</v>
      </c>
      <c r="G97" s="2" t="n">
        <v>60</v>
      </c>
      <c r="H97" s="3" t="n">
        <v>46220</v>
      </c>
      <c r="I97" s="2" t="inlineStr">
        <is>
          <t>CAD</t>
        </is>
      </c>
      <c r="J97" s="4" t="n">
        <v>5.03181</v>
      </c>
      <c r="K97" s="5" t="n">
        <v>105185.38</v>
      </c>
      <c r="L97" s="6" t="n">
        <v>0</v>
      </c>
      <c r="M97" s="5" t="n">
        <v>21037.08</v>
      </c>
      <c r="N97" s="5">
        <f>K97*J97</f>
        <v/>
      </c>
      <c r="O97" s="5">
        <f>M97*J97</f>
        <v/>
      </c>
      <c r="P97" s="5">
        <f>K97-M97</f>
        <v/>
      </c>
      <c r="Q97" s="5">
        <f>N97-O97</f>
        <v/>
      </c>
      <c r="R97" s="2">
        <f>IF(Q97&lt;=0,0,TODAY()-H97)</f>
        <v/>
      </c>
      <c r="S97" s="2">
        <f>IF(Q97&lt;=0,"未到期",IF(S97&lt;=30,"1-30天",IF(S97&lt;=60,"31-60天",IF(S97&lt;=90,"61-90天",IF(S97&lt;=180,"91-180天","180天以上")))))</f>
        <v/>
      </c>
      <c r="T97" s="2">
        <f>IF(Q97&lt;=0,"未到期",IF(S97&gt;0,"逾期","已结清"))</f>
        <v/>
      </c>
    </row>
    <row r="98">
      <c r="A98" s="2" t="inlineStr">
        <is>
          <t>INV26100097</t>
        </is>
      </c>
      <c r="B98" s="2" t="inlineStr">
        <is>
          <t>C002</t>
        </is>
      </c>
      <c r="C98" s="2" t="inlineStr">
        <is>
          <t>NORDIC HOME AB</t>
        </is>
      </c>
      <c r="D98" s="2" t="inlineStr">
        <is>
          <t>瑞典</t>
        </is>
      </c>
      <c r="E98" s="2" t="inlineStr">
        <is>
          <t>刘小源</t>
        </is>
      </c>
      <c r="F98" s="3" t="n">
        <v>46156</v>
      </c>
      <c r="G98" s="2" t="n">
        <v>30</v>
      </c>
      <c r="H98" s="3" t="n">
        <v>46186</v>
      </c>
      <c r="I98" s="2" t="inlineStr">
        <is>
          <t>SEK</t>
        </is>
      </c>
      <c r="J98" s="4" t="n">
        <v>0.667625</v>
      </c>
      <c r="K98" s="5" t="n">
        <v>53672.74</v>
      </c>
      <c r="L98" s="6" t="n">
        <v>0.13</v>
      </c>
      <c r="M98" s="5" t="n">
        <v>0</v>
      </c>
      <c r="N98" s="5">
        <f>K98*J98</f>
        <v/>
      </c>
      <c r="O98" s="5">
        <f>M98*J98</f>
        <v/>
      </c>
      <c r="P98" s="5">
        <f>K98-M98</f>
        <v/>
      </c>
      <c r="Q98" s="5">
        <f>N98-O98</f>
        <v/>
      </c>
      <c r="R98" s="2">
        <f>IF(Q98&lt;=0,0,TODAY()-H98)</f>
        <v/>
      </c>
      <c r="S98" s="2">
        <f>IF(Q98&lt;=0,"未到期",IF(S98&lt;=30,"1-30天",IF(S98&lt;=60,"31-60天",IF(S98&lt;=90,"61-90天",IF(S98&lt;=180,"91-180天","180天以上")))))</f>
        <v/>
      </c>
      <c r="T98" s="2">
        <f>IF(Q98&lt;=0,"未到期",IF(S98&gt;0,"逾期","已结清"))</f>
        <v/>
      </c>
    </row>
    <row r="99">
      <c r="A99" s="2" t="inlineStr">
        <is>
          <t>INV26100098</t>
        </is>
      </c>
      <c r="B99" s="2" t="inlineStr">
        <is>
          <t>C004</t>
        </is>
      </c>
      <c r="C99" s="2" t="inlineStr">
        <is>
          <t>MEDITERRANEO SRL</t>
        </is>
      </c>
      <c r="D99" s="2" t="inlineStr">
        <is>
          <t>意大利</t>
        </is>
      </c>
      <c r="E99" s="2" t="inlineStr">
        <is>
          <t>刘小源</t>
        </is>
      </c>
      <c r="F99" s="3" t="n">
        <v>46069</v>
      </c>
      <c r="G99" s="2" t="n">
        <v>60</v>
      </c>
      <c r="H99" s="3" t="n">
        <v>46129</v>
      </c>
      <c r="I99" s="2" t="inlineStr">
        <is>
          <t>EUR</t>
        </is>
      </c>
      <c r="J99" s="4" t="n">
        <v>7.71938</v>
      </c>
      <c r="K99" s="5" t="n">
        <v>77284.39</v>
      </c>
      <c r="L99" s="6" t="n">
        <v>0.13</v>
      </c>
      <c r="M99" s="5" t="n">
        <v>0</v>
      </c>
      <c r="N99" s="5">
        <f>K99*J99</f>
        <v/>
      </c>
      <c r="O99" s="5">
        <f>M99*J99</f>
        <v/>
      </c>
      <c r="P99" s="5">
        <f>K99-M99</f>
        <v/>
      </c>
      <c r="Q99" s="5">
        <f>N99-O99</f>
        <v/>
      </c>
      <c r="R99" s="2">
        <f>IF(Q99&lt;=0,0,TODAY()-H99)</f>
        <v/>
      </c>
      <c r="S99" s="2">
        <f>IF(Q99&lt;=0,"未到期",IF(S99&lt;=30,"1-30天",IF(S99&lt;=60,"31-60天",IF(S99&lt;=90,"61-90天",IF(S99&lt;=180,"91-180天","180天以上")))))</f>
        <v/>
      </c>
      <c r="T99" s="2">
        <f>IF(Q99&lt;=0,"未到期",IF(S99&gt;0,"逾期","已结清"))</f>
        <v/>
      </c>
    </row>
    <row r="100">
      <c r="A100" s="2" t="inlineStr">
        <is>
          <t>INV26100099</t>
        </is>
      </c>
      <c r="B100" s="2" t="inlineStr">
        <is>
          <t>C016</t>
        </is>
      </c>
      <c r="C100" s="2" t="inlineStr">
        <is>
          <t>OZ DIRECT PTY LTD</t>
        </is>
      </c>
      <c r="D100" s="2" t="inlineStr">
        <is>
          <t>澳大利亚</t>
        </is>
      </c>
      <c r="E100" s="2" t="inlineStr">
        <is>
          <t>张大丽</t>
        </is>
      </c>
      <c r="F100" s="3" t="n">
        <v>46091</v>
      </c>
      <c r="G100" s="2" t="n">
        <v>45</v>
      </c>
      <c r="H100" s="3" t="n">
        <v>46136</v>
      </c>
      <c r="I100" s="2" t="inlineStr">
        <is>
          <t>AUD</t>
        </is>
      </c>
      <c r="J100" s="4" t="n">
        <v>4.612278</v>
      </c>
      <c r="K100" s="5" t="n">
        <v>59393.02</v>
      </c>
      <c r="L100" s="6" t="n">
        <v>0</v>
      </c>
      <c r="M100" s="5" t="n">
        <v>0</v>
      </c>
      <c r="N100" s="5">
        <f>K100*J100</f>
        <v/>
      </c>
      <c r="O100" s="5">
        <f>M100*J100</f>
        <v/>
      </c>
      <c r="P100" s="5">
        <f>K100-M100</f>
        <v/>
      </c>
      <c r="Q100" s="5">
        <f>N100-O100</f>
        <v/>
      </c>
      <c r="R100" s="2">
        <f>IF(Q100&lt;=0,0,TODAY()-H100)</f>
        <v/>
      </c>
      <c r="S100" s="2">
        <f>IF(Q100&lt;=0,"未到期",IF(S100&lt;=30,"1-30天",IF(S100&lt;=60,"31-60天",IF(S100&lt;=90,"61-90天",IF(S100&lt;=180,"91-180天","180天以上")))))</f>
        <v/>
      </c>
      <c r="T100" s="2">
        <f>IF(Q100&lt;=0,"未到期",IF(S100&gt;0,"逾期","已结清"))</f>
        <v/>
      </c>
    </row>
    <row r="101">
      <c r="A101" s="2" t="inlineStr">
        <is>
          <t>INV26100100</t>
        </is>
      </c>
      <c r="B101" s="2" t="inlineStr">
        <is>
          <t>C020</t>
        </is>
      </c>
      <c r="C101" s="2" t="inlineStr">
        <is>
          <t>PRAHA TRADING SRO</t>
        </is>
      </c>
      <c r="D101" s="2" t="inlineStr">
        <is>
          <t>捷克</t>
        </is>
      </c>
      <c r="E101" s="2" t="inlineStr">
        <is>
          <t>张大丽</t>
        </is>
      </c>
      <c r="F101" s="3" t="n">
        <v>46250</v>
      </c>
      <c r="G101" s="2" t="n">
        <v>45</v>
      </c>
      <c r="H101" s="3" t="n">
        <v>46295</v>
      </c>
      <c r="I101" s="2" t="inlineStr">
        <is>
          <t>EUR</t>
        </is>
      </c>
      <c r="J101" s="4" t="n">
        <v>7.701131</v>
      </c>
      <c r="K101" s="5" t="n">
        <v>106679.43</v>
      </c>
      <c r="L101" s="6" t="n">
        <v>0.09</v>
      </c>
      <c r="M101" s="5" t="n">
        <v>0</v>
      </c>
      <c r="N101" s="5">
        <f>K101*J101</f>
        <v/>
      </c>
      <c r="O101" s="5">
        <f>M101*J101</f>
        <v/>
      </c>
      <c r="P101" s="5">
        <f>K101-M101</f>
        <v/>
      </c>
      <c r="Q101" s="5">
        <f>N101-O101</f>
        <v/>
      </c>
      <c r="R101" s="2">
        <f>IF(Q101&lt;=0,0,TODAY()-H101)</f>
        <v/>
      </c>
      <c r="S101" s="2">
        <f>IF(Q101&lt;=0,"未到期",IF(S101&lt;=30,"1-30天",IF(S101&lt;=60,"31-60天",IF(S101&lt;=90,"61-90天",IF(S101&lt;=180,"91-180天","180天以上")))))</f>
        <v/>
      </c>
      <c r="T101" s="2">
        <f>IF(Q101&lt;=0,"未到期",IF(S101&gt;0,"逾期","已结清"))</f>
        <v/>
      </c>
    </row>
  </sheetData>
  <autoFilter ref="A1:T101"/>
  <conditionalFormatting sqref="S2:S101">
    <cfRule type="cellIs" priority="1" operator="greaterThan" dxfId="0">
      <formula>180</formula>
    </cfRule>
  </conditionalFormatting>
  <conditionalFormatting sqref="Q2:Q101">
    <cfRule type="colorScale" priority="2">
      <colorScale>
        <cfvo type="min"/>
        <cfvo type="percentile" val="50"/>
        <cfvo type="max"/>
        <color rgb="00C6EFCE"/>
        <color rgb="00FFEB9C"/>
        <color rgb="00FFC7CE"/>
      </colorScale>
    </cfRule>
  </conditionalFormatting>
  <dataValidations count="1">
    <dataValidation sqref="I2:I500" showDropDown="0" showInputMessage="0" showErrorMessage="0" allowBlank="1" type="list">
      <formula1>"USD,EUR,GBP,JPY,AUD,CAD,SGD,KRW,SEK"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0" customWidth="1" min="3" max="3"/>
  </cols>
  <sheetData>
    <row r="1">
      <c r="A1" s="7" t="inlineStr">
        <is>
          <t>参数项</t>
        </is>
      </c>
      <c r="B1" s="7" t="inlineStr">
        <is>
          <t>值</t>
        </is>
      </c>
      <c r="C1" s="7" t="inlineStr">
        <is>
          <t>说明</t>
        </is>
      </c>
    </row>
    <row r="2">
      <c r="A2" s="2" t="inlineStr">
        <is>
          <t>账龄分档</t>
        </is>
      </c>
      <c r="B2" s="2" t="inlineStr">
        <is>
          <t>30/60/90/180</t>
        </is>
      </c>
      <c r="C2" s="2" t="inlineStr">
        <is>
          <t>逾期天数分档</t>
        </is>
      </c>
    </row>
    <row r="3">
      <c r="A3" s="2" t="inlineStr">
        <is>
          <t>坏账计提-1-30天</t>
        </is>
      </c>
      <c r="B3" s="2" t="n">
        <v>0.05</v>
      </c>
      <c r="C3" s="2" t="inlineStr">
        <is>
          <t>按未收本位币计提</t>
        </is>
      </c>
    </row>
    <row r="4">
      <c r="A4" s="2" t="inlineStr">
        <is>
          <t>坏账计提-31-90天</t>
        </is>
      </c>
      <c r="B4" s="2" t="n">
        <v>0.1</v>
      </c>
      <c r="C4" s="2" t="inlineStr"/>
    </row>
    <row r="5">
      <c r="A5" s="2" t="inlineStr">
        <is>
          <t>坏账计提-91-180天</t>
        </is>
      </c>
      <c r="B5" s="2" t="n">
        <v>0.3</v>
      </c>
      <c r="C5" s="2" t="inlineStr"/>
    </row>
    <row r="6">
      <c r="A6" s="2" t="inlineStr">
        <is>
          <t>坏账计提-180天以上</t>
        </is>
      </c>
      <c r="B6" s="2" t="n">
        <v>0.5</v>
      </c>
      <c r="C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2026-10-27T14:25:43Z</dcterms:created>
  <dcterms:modified xmlns:dcterms="http://purl.org/dc/terms/" xmlns:xsi="http://www.w3.org/2001/XMLSchema-instance" xsi:type="dcterms:W3CDTF">2026-10-27T14:25:43Z</dcterms:modified>
</cp:coreProperties>
</file>